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F:\Personal\Documents\Miscellaneous Docs\"/>
    </mc:Choice>
  </mc:AlternateContent>
  <xr:revisionPtr revIDLastSave="0" documentId="13_ncr:1_{8855ACCA-8A32-4078-81D1-5D03CD647D57}" xr6:coauthVersionLast="47" xr6:coauthVersionMax="47" xr10:uidLastSave="{00000000-0000-0000-0000-000000000000}"/>
  <bookViews>
    <workbookView xWindow="-28695" yWindow="5520" windowWidth="28800" windowHeight="15345" xr2:uid="{222EB7BF-55A3-4FF3-9164-7F4D77133A81}"/>
  </bookViews>
  <sheets>
    <sheet name="Kelly Calculator" sheetId="1" r:id="rId1"/>
    <sheet name="Baseball" sheetId="2" r:id="rId2"/>
    <sheet name="Football" sheetId="3" r:id="rId3"/>
    <sheet name="Basketball" sheetId="4" r:id="rId4"/>
    <sheet name="Sheet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 r="G27" i="1"/>
  <c r="G28" i="1"/>
  <c r="G29" i="1"/>
  <c r="G30" i="1"/>
  <c r="G31" i="1"/>
  <c r="G32" i="1"/>
  <c r="G33" i="1"/>
  <c r="G34" i="1"/>
  <c r="G35" i="1"/>
  <c r="G36" i="1"/>
  <c r="G37" i="1"/>
  <c r="G38" i="1"/>
  <c r="B27" i="1"/>
  <c r="B28" i="1"/>
  <c r="B29" i="1"/>
  <c r="B30" i="1"/>
  <c r="B31" i="1"/>
  <c r="B32" i="1"/>
  <c r="B33" i="1"/>
  <c r="B34" i="1"/>
  <c r="B35" i="1"/>
  <c r="B36" i="1"/>
  <c r="B37" i="1"/>
  <c r="B38" i="1"/>
  <c r="E9" i="1"/>
  <c r="E10" i="1"/>
  <c r="E11" i="1"/>
  <c r="E12" i="1"/>
  <c r="E13" i="1"/>
  <c r="E14" i="1"/>
  <c r="E15" i="1"/>
  <c r="F32" i="1" s="1"/>
  <c r="E16" i="1"/>
  <c r="F33" i="1" s="1"/>
  <c r="E17" i="1"/>
  <c r="F34" i="1" s="1"/>
  <c r="E18" i="1"/>
  <c r="E19" i="1"/>
  <c r="E20" i="1"/>
  <c r="E21" i="1"/>
  <c r="E8" i="1"/>
  <c r="E26" i="1"/>
  <c r="E27" i="1"/>
  <c r="E28" i="1"/>
  <c r="E29" i="1"/>
  <c r="E30" i="1"/>
  <c r="E31" i="1"/>
  <c r="E32" i="1"/>
  <c r="E33" i="1"/>
  <c r="E34" i="1"/>
  <c r="E35" i="1"/>
  <c r="E36" i="1"/>
  <c r="E37" i="1"/>
  <c r="E38" i="1"/>
  <c r="E25" i="1"/>
  <c r="C9" i="1"/>
  <c r="C10" i="1"/>
  <c r="C11" i="1"/>
  <c r="C12" i="1"/>
  <c r="C13" i="1"/>
  <c r="C14" i="1"/>
  <c r="C15" i="1"/>
  <c r="C16" i="1"/>
  <c r="C17" i="1"/>
  <c r="C18" i="1"/>
  <c r="C19" i="1"/>
  <c r="C20" i="1"/>
  <c r="C21" i="1"/>
  <c r="F28" i="1"/>
  <c r="F29" i="1"/>
  <c r="F31" i="1"/>
  <c r="C8" i="1"/>
  <c r="B25" i="1" l="1"/>
  <c r="C25" i="1" s="1"/>
  <c r="B26" i="1"/>
  <c r="C26" i="1" s="1"/>
  <c r="C31" i="1"/>
  <c r="H31" i="1" s="1"/>
  <c r="C34" i="1"/>
  <c r="H34" i="1" s="1"/>
  <c r="C32" i="1"/>
  <c r="H32" i="1" s="1"/>
  <c r="C29" i="1"/>
  <c r="H29" i="1" s="1"/>
  <c r="C28" i="1"/>
  <c r="H28" i="1" s="1"/>
  <c r="C33" i="1"/>
  <c r="H33" i="1" s="1"/>
  <c r="F27" i="1"/>
  <c r="C27" i="1"/>
  <c r="C36" i="1"/>
  <c r="F36" i="1"/>
  <c r="F35" i="1"/>
  <c r="C35" i="1"/>
  <c r="C38" i="1"/>
  <c r="F38" i="1"/>
  <c r="F37" i="1"/>
  <c r="C37" i="1"/>
  <c r="F30" i="1"/>
  <c r="C30" i="1"/>
  <c r="H38" i="1" l="1"/>
  <c r="H36" i="1"/>
  <c r="H30" i="1"/>
  <c r="H37" i="1"/>
  <c r="H35" i="1"/>
  <c r="F25" i="1"/>
  <c r="H27" i="1"/>
  <c r="F26" i="1"/>
  <c r="G26" i="1" s="1"/>
  <c r="H25" i="1" l="1"/>
  <c r="H26" i="1"/>
</calcChain>
</file>

<file path=xl/sharedStrings.xml><?xml version="1.0" encoding="utf-8"?>
<sst xmlns="http://schemas.openxmlformats.org/spreadsheetml/2006/main" count="84" uniqueCount="65">
  <si>
    <t>Game Date:</t>
  </si>
  <si>
    <t>Sports Betting Workbook (Kelly Criterion)</t>
  </si>
  <si>
    <t>Teams/Players/Horses</t>
  </si>
  <si>
    <t>Team/Player/Horse 1</t>
  </si>
  <si>
    <t>Team/Player/Horse 2</t>
  </si>
  <si>
    <t>Team/Player/Horse 3</t>
  </si>
  <si>
    <t>Team/Player/Horse 4</t>
  </si>
  <si>
    <t>Team/Player/Horse 5</t>
  </si>
  <si>
    <t>Team/Player/Horse 6</t>
  </si>
  <si>
    <t>Team/Player/Horse 7</t>
  </si>
  <si>
    <t>Team/Player/Horse 8</t>
  </si>
  <si>
    <t>Team/Player/Horse 9</t>
  </si>
  <si>
    <t>Team/Player/Horse 10</t>
  </si>
  <si>
    <t>Team/Player/Horse 11</t>
  </si>
  <si>
    <t>Team/Player/Horse 12</t>
  </si>
  <si>
    <t>Team/Player/Horse 13</t>
  </si>
  <si>
    <t>Team/Player/Horse 14</t>
  </si>
  <si>
    <t>Inputs</t>
  </si>
  <si>
    <t>Outputs</t>
  </si>
  <si>
    <t>Total to Bet</t>
  </si>
  <si>
    <t>Fraction of Bankroll</t>
  </si>
  <si>
    <t>Game/Race:</t>
  </si>
  <si>
    <t>Total Bankroll To Bet ($):</t>
  </si>
  <si>
    <t>American Moneyline Odds</t>
  </si>
  <si>
    <t>Fractional Odds    (Horse Racing)</t>
  </si>
  <si>
    <t>Win to Wager Ratio</t>
  </si>
  <si>
    <t>Given Win Percentage</t>
  </si>
  <si>
    <t>Given Loss Percentage</t>
  </si>
  <si>
    <t>"Eye Test" Win Chance</t>
  </si>
  <si>
    <t>"Eye Test" Loss Chance</t>
  </si>
  <si>
    <t>For Eyetest Numbers:</t>
  </si>
  <si>
    <t xml:space="preserve">Baseball: </t>
  </si>
  <si>
    <t>Sabermetrics</t>
  </si>
  <si>
    <t>Football</t>
  </si>
  <si>
    <t>AdvancedNFLstats, Football outsiders, etc..</t>
  </si>
  <si>
    <t>Fractional Odds to Given Win %</t>
  </si>
  <si>
    <t>Moneyline Odds to Given Win %</t>
  </si>
  <si>
    <t>The Sabermetric Triple Crown formula is composed of three statistics: Batting Average on Balls in Play (BABIP), Wins Above Replacement (WAR), and Fielding Independent Pitching (FIP). Here's how you could calculate each of these statistics in Excel:</t>
  </si>
  <si>
    <t>1. BABIP:</t>
  </si>
  <si>
    <t>Copy code</t>
  </si>
  <si>
    <t>BABIP = (Hits - Home Runs) / (At-bats - Strikeouts - Home Runs + Sacrifice Flies)</t>
  </si>
  <si>
    <t>Where: Hits = Number of hits Home Runs = Number of home runs At-bats = Number of at-bats Strikeouts = Number of strikeouts Sacrifice Flies = Number of sacrifice flies</t>
  </si>
  <si>
    <t>2. WAR:</t>
  </si>
  <si>
    <t>WAR = (Batting Runs + Base Running Runs + Fielding Runs + Positional Adjustment + League Adjustment) / (Runs Per Win)</t>
  </si>
  <si>
    <t>Where: Batting Runs, Base Running Runs, and Fielding Runs are calculated using a variety of advanced statistics and can be found on baseball-reference.com or other sabermetrics websites. Positional Adjustment and League Adjustment are also calculated using advanced statistics and can be found on baseball-reference.com or other sabermetrics websites. Runs Per Win is a constant that can be found on baseball-reference.com or other sabermetrics websites, and is typically around 10.</t>
  </si>
  <si>
    <t>3. FIP:</t>
  </si>
  <si>
    <t>Where: HR = Number of home runs allowed BB = Number of walks allowed HBP = Number of hit by pitches allowed K = Number of strikeouts IP = Innings Pitched Constant is a number that is used to scale FIP to match ERA, and it's typically around 3.2</t>
  </si>
  <si>
    <t>It's important to note that these statistics are calculated using a variety of advanced statistics and might require some data that might not be available for all players and seasons. Additionally, it's important to consult with a sabermetrics expert or consult websites like baseball-reference.com to get the most accurate and up-to-date data.</t>
  </si>
  <si>
    <t>FIP = ( (13*HR) + (3*(BB+HBP)) - (2*K) ) / IP + constant</t>
  </si>
  <si>
    <t>The best source for statistical information for the NBA is the official website of the league, NBA.com. The site provides a wide variety of statistics for every player and team, including traditional statistics such as points per game and rebounds per game, as well as advanced statistics such as player efficiency rating and true shooting percentage. Additionally, the site offers historical statistics dating back to the league's inception, as well as a variety of other data and information related to the league. Other websites like basketball-reference.com, espn.com, and nbastats.com also provide useful statistics and information about the NBA.</t>
  </si>
  <si>
    <t>The best source for statistical information for the NFL is the official website of the league, NFL.com. The site provides a wide variety of statistics for every player and team, including traditional statistics such as passing yards and rushing yards, as well as advanced statistics such as passer rating and total quarterback rating. Additionally, the site offers historical statistics dating back to the league's inception, as well as a variety of other data and information related to the league.</t>
  </si>
  <si>
    <t>Other reputable sources for NFL statistics include:</t>
  </si>
  <si>
    <t>1. Pro-Football-Reference.com - This website is considered one of the most comprehensive sources of NFL statistics on the internet. It contains a wealth of historical and current data on players, teams, and games.</t>
  </si>
  <si>
    <t>2. ESPN.com - This website provides a wide range of statistics for every player and team in the league. It also offers historical data, game logs and other important information about the NFL.</t>
  </si>
  <si>
    <t>3. NFLsavant.com - This website provides advanced statistics and analysis of NFL data, it also offers play-by-play data and other information that can be useful for NFL analysis.</t>
  </si>
  <si>
    <t>4. Footballoutsiders.com - This website is known for its advanced analytics and statistical analysis of the NFL, it offers a lot of useful information and metrics to evaluate players and teams.</t>
  </si>
  <si>
    <t>5. Nextgenstats.nfl.com - This website is the official source of NFL Next Gen Stats, which uses player tracking technology to provide advanced metrics and data on NFL players and teams.</t>
  </si>
  <si>
    <t>These are some of the most reputable sources for NFL statistics, but there are many other websites, books, and resources available for those who are interested in NFL statistics.</t>
  </si>
  <si>
    <t>There are several reputable sources for statistical information for baseball. Some of the most well-known and widely used include:</t>
  </si>
  <si>
    <t>1. Baseball-Reference.com - This website is considered one of the most comprehensive sources of baseball statistics on the internet. It contains a wealth of historical and current data on players, teams, and games.</t>
  </si>
  <si>
    <t>2. Fangraphs.com - This website is another popular source of baseball statistics. It is known for its advanced analytics and sabermetric data, making it a go-to resource for fans and analysts alike.</t>
  </si>
  <si>
    <t>3. MLB.com - The official website of Major League Baseball, MLB.com, provides a wide range of statistics for every player and team in the league. It also offers historical data, game logs and other important information about MLB.</t>
  </si>
  <si>
    <t>4. Retrosheet.org - This website is a non-profit organization dedicated to the collection, preservation and distribution of historical baseball data. They offer an extensive collection of play-by-play data and box scores dating back to the late 19th century.</t>
  </si>
  <si>
    <t>5. Brooksbaseball.net - This website is a resource for baseball data analysis and visualization, it also offers PITCHf/x data and other information related to baseball analysis.</t>
  </si>
  <si>
    <t>These are some of the most reputable sources for baseball statistics, but there are many other websites, books and resources available for those who are interested in baseball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</si>
</sst>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0">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1"/>
      <name val="Calibri"/>
      <family val="2"/>
      <scheme val="minor"/>
    </font>
    <font>
      <sz val="12"/>
      <name val="Segoe UI"/>
      <family val="2"/>
    </font>
    <font>
      <sz val="11"/>
      <name val="Calibri"/>
      <family val="2"/>
      <scheme val="minor"/>
    </font>
    <font>
      <sz val="9.6"/>
      <name val="Segoe UI"/>
      <family val="2"/>
    </font>
    <font>
      <sz val="10"/>
      <name val="Inherit"/>
    </font>
    <font>
      <sz val="11"/>
      <color theme="1"/>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8">
    <xf numFmtId="0" fontId="0" fillId="0" borderId="0" xfId="0"/>
    <xf numFmtId="0" fontId="0" fillId="0" borderId="0" xfId="0" applyAlignment="1">
      <alignment horizontal="center"/>
    </xf>
    <xf numFmtId="0" fontId="2" fillId="0" borderId="0" xfId="0" applyFont="1"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0" fontId="2" fillId="0" borderId="2" xfId="0" applyFont="1" applyBorder="1" applyAlignment="1">
      <alignment horizontal="center" vertical="center"/>
    </xf>
    <xf numFmtId="0" fontId="2" fillId="0" borderId="17" xfId="0"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wrapText="1"/>
    </xf>
    <xf numFmtId="0" fontId="2" fillId="0" borderId="8" xfId="0" applyFont="1" applyBorder="1" applyAlignment="1">
      <alignment horizontal="center" vertical="center"/>
    </xf>
    <xf numFmtId="14" fontId="0" fillId="0" borderId="2" xfId="0" applyNumberFormat="1" applyBorder="1" applyAlignment="1">
      <alignment horizontal="center" vertical="center"/>
    </xf>
    <xf numFmtId="0" fontId="2" fillId="0" borderId="2" xfId="0" applyFont="1" applyBorder="1" applyAlignment="1">
      <alignment horizontal="center"/>
    </xf>
    <xf numFmtId="0" fontId="2" fillId="0" borderId="0" xfId="0" applyFont="1" applyAlignment="1">
      <alignment horizontal="center" vertical="center" wrapText="1"/>
    </xf>
    <xf numFmtId="0" fontId="0" fillId="0" borderId="0" xfId="0" applyAlignment="1">
      <alignment horizontal="center" vertical="center" wrapText="1"/>
    </xf>
    <xf numFmtId="0" fontId="2" fillId="0" borderId="18" xfId="0" applyFont="1" applyBorder="1" applyAlignment="1">
      <alignment horizontal="center" vertical="center" wrapText="1"/>
    </xf>
    <xf numFmtId="0" fontId="2" fillId="0" borderId="25" xfId="0" applyFont="1" applyBorder="1" applyAlignment="1">
      <alignment horizontal="center" vertical="center" wrapText="1"/>
    </xf>
    <xf numFmtId="0" fontId="0" fillId="0" borderId="29" xfId="0" applyBorder="1" applyAlignment="1">
      <alignment horizontal="center" vertical="center" wrapText="1"/>
    </xf>
    <xf numFmtId="44" fontId="2" fillId="0" borderId="24" xfId="1" applyFont="1" applyBorder="1" applyAlignment="1">
      <alignment horizontal="center" vertical="center"/>
    </xf>
    <xf numFmtId="10" fontId="0" fillId="2" borderId="1" xfId="2" applyNumberFormat="1" applyFont="1" applyFill="1" applyBorder="1" applyAlignment="1">
      <alignment horizontal="center" vertical="center"/>
    </xf>
    <xf numFmtId="10" fontId="0" fillId="2" borderId="21" xfId="2" applyNumberFormat="1" applyFont="1" applyFill="1" applyBorder="1" applyAlignment="1">
      <alignment horizontal="center" vertical="center"/>
    </xf>
    <xf numFmtId="0" fontId="0" fillId="3" borderId="1" xfId="0" applyFill="1" applyBorder="1" applyAlignment="1">
      <alignment horizontal="center" vertical="center"/>
    </xf>
    <xf numFmtId="0" fontId="0" fillId="3" borderId="21" xfId="0" applyFill="1" applyBorder="1" applyAlignment="1">
      <alignment horizontal="center" vertical="center"/>
    </xf>
    <xf numFmtId="0" fontId="0" fillId="3" borderId="0" xfId="0" applyFill="1"/>
    <xf numFmtId="0" fontId="0" fillId="2" borderId="0" xfId="0" applyFill="1"/>
    <xf numFmtId="9" fontId="0" fillId="3" borderId="1" xfId="2" applyFont="1" applyFill="1" applyBorder="1" applyAlignment="1">
      <alignment horizontal="center" vertical="center"/>
    </xf>
    <xf numFmtId="9" fontId="0" fillId="2" borderId="1" xfId="2" applyFont="1" applyFill="1" applyBorder="1" applyAlignment="1">
      <alignment horizontal="center" vertical="center"/>
    </xf>
    <xf numFmtId="9" fontId="0" fillId="3" borderId="21" xfId="2" applyFont="1" applyFill="1" applyBorder="1" applyAlignment="1">
      <alignment horizontal="center" vertical="center"/>
    </xf>
    <xf numFmtId="9" fontId="0" fillId="2" borderId="21" xfId="2" applyFont="1" applyFill="1" applyBorder="1" applyAlignment="1">
      <alignment horizontal="center" vertical="center"/>
    </xf>
    <xf numFmtId="10" fontId="0" fillId="2" borderId="26" xfId="2" applyNumberFormat="1" applyFont="1" applyFill="1" applyBorder="1" applyAlignment="1">
      <alignment horizontal="center" vertical="center"/>
    </xf>
    <xf numFmtId="10" fontId="0" fillId="2" borderId="27" xfId="2" applyNumberFormat="1" applyFont="1" applyFill="1" applyBorder="1" applyAlignment="1">
      <alignment horizontal="center" vertical="center"/>
    </xf>
    <xf numFmtId="13" fontId="0" fillId="3" borderId="1" xfId="0" applyNumberFormat="1" applyFill="1" applyBorder="1" applyAlignment="1">
      <alignment horizontal="center" vertical="center"/>
    </xf>
    <xf numFmtId="13" fontId="0" fillId="3" borderId="21" xfId="0" applyNumberFormat="1" applyFill="1" applyBorder="1" applyAlignment="1">
      <alignment horizontal="center" vertical="center"/>
    </xf>
    <xf numFmtId="0" fontId="0" fillId="2" borderId="7" xfId="0" applyFill="1" applyBorder="1" applyAlignment="1">
      <alignment horizontal="center" vertical="center"/>
    </xf>
    <xf numFmtId="0" fontId="0" fillId="2" borderId="6" xfId="0" applyFill="1" applyBorder="1" applyAlignment="1">
      <alignment horizontal="center" vertical="center"/>
    </xf>
    <xf numFmtId="44" fontId="0" fillId="2" borderId="15" xfId="1" applyFont="1" applyFill="1" applyBorder="1" applyAlignment="1">
      <alignment horizontal="center" vertical="center"/>
    </xf>
    <xf numFmtId="0" fontId="0" fillId="2" borderId="28" xfId="0" applyFill="1" applyBorder="1" applyAlignment="1">
      <alignment horizontal="center" vertical="center"/>
    </xf>
    <xf numFmtId="0" fontId="0" fillId="2" borderId="30" xfId="0" applyFill="1" applyBorder="1" applyAlignment="1">
      <alignment horizontal="center" vertical="center"/>
    </xf>
    <xf numFmtId="44" fontId="0" fillId="2" borderId="16" xfId="1" applyFont="1" applyFill="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6" fillId="0" borderId="0" xfId="0" applyFont="1"/>
    <xf numFmtId="0" fontId="0" fillId="0" borderId="0" xfId="0" applyAlignment="1">
      <alignment wrapText="1"/>
    </xf>
    <xf numFmtId="0" fontId="0" fillId="0" borderId="0" xfId="0" applyAlignment="1">
      <alignment vertical="center" wrapText="1"/>
    </xf>
    <xf numFmtId="0" fontId="9" fillId="0" borderId="0" xfId="0" applyFont="1" applyAlignment="1">
      <alignment vertical="center" wrapText="1"/>
    </xf>
    <xf numFmtId="0" fontId="0" fillId="0" borderId="0" xfId="0" applyAlignment="1">
      <alignment horizontal="left" vertical="center" wrapText="1" indent="1"/>
    </xf>
    <xf numFmtId="0" fontId="9" fillId="0" borderId="0" xfId="0" applyFont="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wrapText="1"/>
    </xf>
    <xf numFmtId="0" fontId="0" fillId="0" borderId="0" xfId="0"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23" xfId="0" applyFont="1" applyBorder="1" applyAlignment="1">
      <alignment horizontal="center"/>
    </xf>
    <xf numFmtId="0" fontId="4" fillId="0" borderId="5"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E2CE-6E88-4E0A-AD2E-D79A4EDAF932}">
  <dimension ref="A1:H38"/>
  <sheetViews>
    <sheetView tabSelected="1" workbookViewId="0">
      <selection activeCell="G25" sqref="G25"/>
    </sheetView>
  </sheetViews>
  <sheetFormatPr defaultRowHeight="15"/>
  <cols>
    <col min="1" max="1" width="23.42578125" style="3" customWidth="1"/>
    <col min="2" max="2" width="20.140625" style="3" customWidth="1"/>
    <col min="3" max="3" width="21" style="3" bestFit="1" customWidth="1"/>
    <col min="4" max="4" width="21.28515625" style="3" customWidth="1"/>
    <col min="5" max="5" width="21.7109375" style="3" bestFit="1" customWidth="1"/>
    <col min="6" max="6" width="13.42578125" style="3" customWidth="1"/>
    <col min="7" max="7" width="11.140625" bestFit="1" customWidth="1"/>
    <col min="8" max="8" width="19.140625" customWidth="1"/>
  </cols>
  <sheetData>
    <row r="1" spans="1:8" ht="27" thickBot="1">
      <c r="A1" s="61" t="s">
        <v>1</v>
      </c>
      <c r="B1" s="62"/>
      <c r="C1" s="62"/>
      <c r="D1" s="62"/>
      <c r="E1" s="63"/>
      <c r="F1" s="64"/>
    </row>
    <row r="2" spans="1:8" ht="15.75" thickBot="1">
      <c r="A2" s="12" t="s">
        <v>0</v>
      </c>
      <c r="B2" s="13"/>
    </row>
    <row r="3" spans="1:8" ht="15.75" thickBot="1">
      <c r="A3" s="14" t="s">
        <v>21</v>
      </c>
      <c r="B3" s="65"/>
      <c r="C3" s="66"/>
      <c r="D3" s="67"/>
      <c r="E3" s="1"/>
      <c r="G3" s="25" t="s">
        <v>17</v>
      </c>
      <c r="H3" s="26" t="s">
        <v>18</v>
      </c>
    </row>
    <row r="4" spans="1:8" ht="15.75" thickBot="1">
      <c r="A4" s="6" t="s">
        <v>22</v>
      </c>
      <c r="B4" s="20">
        <v>50</v>
      </c>
    </row>
    <row r="5" spans="1:8" ht="15.75" thickBot="1">
      <c r="A5" s="4"/>
      <c r="B5" s="4"/>
      <c r="G5" s="57" t="s">
        <v>30</v>
      </c>
      <c r="H5" s="57"/>
    </row>
    <row r="6" spans="1:8" ht="15.75" thickBot="1">
      <c r="A6" s="58" t="s">
        <v>17</v>
      </c>
      <c r="B6" s="59"/>
      <c r="C6" s="59"/>
      <c r="D6" s="60"/>
      <c r="E6" s="2"/>
      <c r="G6" t="s">
        <v>31</v>
      </c>
      <c r="H6" t="s">
        <v>32</v>
      </c>
    </row>
    <row r="7" spans="1:8" ht="45">
      <c r="A7" s="7" t="s">
        <v>2</v>
      </c>
      <c r="B7" s="17" t="s">
        <v>23</v>
      </c>
      <c r="C7" s="17" t="s">
        <v>36</v>
      </c>
      <c r="D7" s="17" t="s">
        <v>24</v>
      </c>
      <c r="E7" s="18" t="s">
        <v>35</v>
      </c>
      <c r="F7" s="15"/>
      <c r="G7" s="16" t="s">
        <v>33</v>
      </c>
      <c r="H7" s="16" t="s">
        <v>34</v>
      </c>
    </row>
    <row r="8" spans="1:8">
      <c r="A8" s="9" t="s">
        <v>3</v>
      </c>
      <c r="B8" s="23">
        <v>500</v>
      </c>
      <c r="C8" s="21">
        <f>IF(B8&gt;0, (100/(B8+100)), (B8/-(100-B8)))</f>
        <v>0.16666666666666666</v>
      </c>
      <c r="D8" s="33"/>
      <c r="E8" s="31">
        <f>IF(1/(D8+1)=1,0,1/(D8+1))</f>
        <v>0</v>
      </c>
    </row>
    <row r="9" spans="1:8">
      <c r="A9" s="9" t="s">
        <v>4</v>
      </c>
      <c r="B9" s="23">
        <v>-114</v>
      </c>
      <c r="C9" s="21">
        <f t="shared" ref="C9:C21" si="0">IF(B9&gt;0, (100/(B9+100)), (B9/-(100-B9)))</f>
        <v>0.53271028037383172</v>
      </c>
      <c r="D9" s="33"/>
      <c r="E9" s="31">
        <f t="shared" ref="E9:E21" si="1">IF(1/(D9+1)=1,0,1/(D9+1))</f>
        <v>0</v>
      </c>
    </row>
    <row r="10" spans="1:8">
      <c r="A10" s="9" t="s">
        <v>5</v>
      </c>
      <c r="B10" s="23"/>
      <c r="C10" s="21">
        <f t="shared" si="0"/>
        <v>0</v>
      </c>
      <c r="D10" s="33"/>
      <c r="E10" s="31">
        <f t="shared" si="1"/>
        <v>0</v>
      </c>
    </row>
    <row r="11" spans="1:8">
      <c r="A11" s="9" t="s">
        <v>6</v>
      </c>
      <c r="B11" s="23"/>
      <c r="C11" s="21">
        <f t="shared" si="0"/>
        <v>0</v>
      </c>
      <c r="D11" s="33"/>
      <c r="E11" s="31">
        <f t="shared" si="1"/>
        <v>0</v>
      </c>
    </row>
    <row r="12" spans="1:8">
      <c r="A12" s="9" t="s">
        <v>7</v>
      </c>
      <c r="B12" s="23"/>
      <c r="C12" s="21">
        <f t="shared" si="0"/>
        <v>0</v>
      </c>
      <c r="D12" s="33"/>
      <c r="E12" s="31">
        <f t="shared" si="1"/>
        <v>0</v>
      </c>
    </row>
    <row r="13" spans="1:8">
      <c r="A13" s="9" t="s">
        <v>8</v>
      </c>
      <c r="B13" s="23"/>
      <c r="C13" s="21">
        <f t="shared" si="0"/>
        <v>0</v>
      </c>
      <c r="D13" s="33"/>
      <c r="E13" s="31">
        <f t="shared" si="1"/>
        <v>0</v>
      </c>
    </row>
    <row r="14" spans="1:8">
      <c r="A14" s="9" t="s">
        <v>9</v>
      </c>
      <c r="B14" s="23"/>
      <c r="C14" s="21">
        <f t="shared" si="0"/>
        <v>0</v>
      </c>
      <c r="D14" s="33"/>
      <c r="E14" s="31">
        <f t="shared" si="1"/>
        <v>0</v>
      </c>
    </row>
    <row r="15" spans="1:8">
      <c r="A15" s="9" t="s">
        <v>10</v>
      </c>
      <c r="B15" s="23"/>
      <c r="C15" s="21">
        <f t="shared" si="0"/>
        <v>0</v>
      </c>
      <c r="D15" s="33"/>
      <c r="E15" s="31">
        <f t="shared" si="1"/>
        <v>0</v>
      </c>
    </row>
    <row r="16" spans="1:8">
      <c r="A16" s="9" t="s">
        <v>11</v>
      </c>
      <c r="B16" s="23"/>
      <c r="C16" s="21">
        <f t="shared" si="0"/>
        <v>0</v>
      </c>
      <c r="D16" s="33"/>
      <c r="E16" s="31">
        <f t="shared" si="1"/>
        <v>0</v>
      </c>
    </row>
    <row r="17" spans="1:8">
      <c r="A17" s="9" t="s">
        <v>12</v>
      </c>
      <c r="B17" s="23"/>
      <c r="C17" s="21">
        <f t="shared" si="0"/>
        <v>0</v>
      </c>
      <c r="D17" s="33"/>
      <c r="E17" s="31">
        <f t="shared" si="1"/>
        <v>0</v>
      </c>
    </row>
    <row r="18" spans="1:8">
      <c r="A18" s="9" t="s">
        <v>13</v>
      </c>
      <c r="B18" s="23"/>
      <c r="C18" s="21">
        <f t="shared" si="0"/>
        <v>0</v>
      </c>
      <c r="D18" s="33"/>
      <c r="E18" s="31">
        <f t="shared" si="1"/>
        <v>0</v>
      </c>
    </row>
    <row r="19" spans="1:8">
      <c r="A19" s="9" t="s">
        <v>14</v>
      </c>
      <c r="B19" s="23"/>
      <c r="C19" s="21">
        <f t="shared" si="0"/>
        <v>0</v>
      </c>
      <c r="D19" s="33"/>
      <c r="E19" s="31">
        <f t="shared" si="1"/>
        <v>0</v>
      </c>
    </row>
    <row r="20" spans="1:8">
      <c r="A20" s="9" t="s">
        <v>15</v>
      </c>
      <c r="B20" s="23"/>
      <c r="C20" s="21">
        <f t="shared" si="0"/>
        <v>0</v>
      </c>
      <c r="D20" s="33"/>
      <c r="E20" s="31">
        <f t="shared" si="1"/>
        <v>0</v>
      </c>
    </row>
    <row r="21" spans="1:8" ht="15.75" thickBot="1">
      <c r="A21" s="10" t="s">
        <v>16</v>
      </c>
      <c r="B21" s="24"/>
      <c r="C21" s="22">
        <f t="shared" si="0"/>
        <v>0</v>
      </c>
      <c r="D21" s="34"/>
      <c r="E21" s="32">
        <f t="shared" si="1"/>
        <v>0</v>
      </c>
    </row>
    <row r="22" spans="1:8" ht="15.75" thickBot="1"/>
    <row r="23" spans="1:8" ht="15.75" thickBot="1">
      <c r="A23" s="58" t="s">
        <v>18</v>
      </c>
      <c r="B23" s="59"/>
      <c r="C23" s="59"/>
      <c r="D23" s="60"/>
      <c r="E23" s="2"/>
    </row>
    <row r="24" spans="1:8" ht="30">
      <c r="A24" s="7" t="s">
        <v>2</v>
      </c>
      <c r="B24" s="8" t="s">
        <v>26</v>
      </c>
      <c r="C24" s="8" t="s">
        <v>27</v>
      </c>
      <c r="D24" s="8" t="s">
        <v>28</v>
      </c>
      <c r="E24" s="8" t="s">
        <v>29</v>
      </c>
      <c r="F24" s="19" t="s">
        <v>25</v>
      </c>
      <c r="G24" s="11" t="s">
        <v>20</v>
      </c>
      <c r="H24" s="5" t="s">
        <v>19</v>
      </c>
    </row>
    <row r="25" spans="1:8">
      <c r="A25" s="9" t="s">
        <v>3</v>
      </c>
      <c r="B25" s="21">
        <f>IF(SUM(C8+E8)=1,0,SUM(C8,E8))</f>
        <v>0.16666666666666666</v>
      </c>
      <c r="C25" s="21">
        <f>1-B25</f>
        <v>0.83333333333333337</v>
      </c>
      <c r="D25" s="27">
        <v>0.75</v>
      </c>
      <c r="E25" s="28">
        <f>1-D25</f>
        <v>0.25</v>
      </c>
      <c r="F25" s="35">
        <f t="shared" ref="F25:F38" si="2">(1/B25)-1</f>
        <v>5</v>
      </c>
      <c r="G25" s="36">
        <f>IF(D25-(E25/F25)&lt;0,0,D25-(E25/F25))</f>
        <v>0.7</v>
      </c>
      <c r="H25" s="37">
        <f>G25*$B$4</f>
        <v>35</v>
      </c>
    </row>
    <row r="26" spans="1:8">
      <c r="A26" s="9" t="s">
        <v>4</v>
      </c>
      <c r="B26" s="21">
        <f t="shared" ref="B26:B38" si="3">IF(SUM(C9+E9)=1,0,SUM(C9,E9))</f>
        <v>0.53271028037383172</v>
      </c>
      <c r="C26" s="21">
        <f t="shared" ref="C26:C38" si="4">1-B26</f>
        <v>0.46728971962616828</v>
      </c>
      <c r="D26" s="27">
        <v>0.55000000000000004</v>
      </c>
      <c r="E26" s="28">
        <f t="shared" ref="E26:E38" si="5">1-D26</f>
        <v>0.44999999999999996</v>
      </c>
      <c r="F26" s="35">
        <f t="shared" si="2"/>
        <v>0.87719298245614064</v>
      </c>
      <c r="G26" s="36">
        <f t="shared" ref="G26:G38" si="6">IF(D26-(E26/F26)&lt;0,0,D26-(E26/F26))</f>
        <v>3.7000000000000255E-2</v>
      </c>
      <c r="H26" s="37">
        <f t="shared" ref="H26:H38" si="7">G26*$B$4</f>
        <v>1.8500000000000127</v>
      </c>
    </row>
    <row r="27" spans="1:8">
      <c r="A27" s="9" t="s">
        <v>5</v>
      </c>
      <c r="B27" s="21">
        <f t="shared" si="3"/>
        <v>0</v>
      </c>
      <c r="C27" s="21">
        <f t="shared" si="4"/>
        <v>1</v>
      </c>
      <c r="D27" s="27">
        <v>0</v>
      </c>
      <c r="E27" s="28">
        <f t="shared" si="5"/>
        <v>1</v>
      </c>
      <c r="F27" s="35" t="e">
        <f t="shared" si="2"/>
        <v>#DIV/0!</v>
      </c>
      <c r="G27" s="36" t="e">
        <f t="shared" si="6"/>
        <v>#DIV/0!</v>
      </c>
      <c r="H27" s="37" t="e">
        <f t="shared" si="7"/>
        <v>#DIV/0!</v>
      </c>
    </row>
    <row r="28" spans="1:8">
      <c r="A28" s="9" t="s">
        <v>6</v>
      </c>
      <c r="B28" s="21">
        <f t="shared" si="3"/>
        <v>0</v>
      </c>
      <c r="C28" s="21">
        <f t="shared" si="4"/>
        <v>1</v>
      </c>
      <c r="D28" s="27">
        <v>0</v>
      </c>
      <c r="E28" s="28">
        <f t="shared" si="5"/>
        <v>1</v>
      </c>
      <c r="F28" s="35" t="e">
        <f t="shared" si="2"/>
        <v>#DIV/0!</v>
      </c>
      <c r="G28" s="36" t="e">
        <f t="shared" si="6"/>
        <v>#DIV/0!</v>
      </c>
      <c r="H28" s="37" t="e">
        <f t="shared" si="7"/>
        <v>#DIV/0!</v>
      </c>
    </row>
    <row r="29" spans="1:8">
      <c r="A29" s="9" t="s">
        <v>7</v>
      </c>
      <c r="B29" s="21">
        <f t="shared" si="3"/>
        <v>0</v>
      </c>
      <c r="C29" s="21">
        <f t="shared" si="4"/>
        <v>1</v>
      </c>
      <c r="D29" s="27">
        <v>0</v>
      </c>
      <c r="E29" s="28">
        <f t="shared" si="5"/>
        <v>1</v>
      </c>
      <c r="F29" s="35" t="e">
        <f t="shared" si="2"/>
        <v>#DIV/0!</v>
      </c>
      <c r="G29" s="36" t="e">
        <f t="shared" si="6"/>
        <v>#DIV/0!</v>
      </c>
      <c r="H29" s="37" t="e">
        <f t="shared" si="7"/>
        <v>#DIV/0!</v>
      </c>
    </row>
    <row r="30" spans="1:8">
      <c r="A30" s="9" t="s">
        <v>8</v>
      </c>
      <c r="B30" s="21">
        <f t="shared" si="3"/>
        <v>0</v>
      </c>
      <c r="C30" s="21">
        <f t="shared" si="4"/>
        <v>1</v>
      </c>
      <c r="D30" s="27">
        <v>0</v>
      </c>
      <c r="E30" s="28">
        <f t="shared" si="5"/>
        <v>1</v>
      </c>
      <c r="F30" s="35" t="e">
        <f t="shared" si="2"/>
        <v>#DIV/0!</v>
      </c>
      <c r="G30" s="36" t="e">
        <f t="shared" si="6"/>
        <v>#DIV/0!</v>
      </c>
      <c r="H30" s="37" t="e">
        <f t="shared" si="7"/>
        <v>#DIV/0!</v>
      </c>
    </row>
    <row r="31" spans="1:8">
      <c r="A31" s="9" t="s">
        <v>9</v>
      </c>
      <c r="B31" s="21">
        <f t="shared" si="3"/>
        <v>0</v>
      </c>
      <c r="C31" s="21">
        <f t="shared" si="4"/>
        <v>1</v>
      </c>
      <c r="D31" s="27">
        <v>0</v>
      </c>
      <c r="E31" s="28">
        <f t="shared" si="5"/>
        <v>1</v>
      </c>
      <c r="F31" s="35" t="e">
        <f t="shared" si="2"/>
        <v>#DIV/0!</v>
      </c>
      <c r="G31" s="36" t="e">
        <f t="shared" si="6"/>
        <v>#DIV/0!</v>
      </c>
      <c r="H31" s="37" t="e">
        <f t="shared" si="7"/>
        <v>#DIV/0!</v>
      </c>
    </row>
    <row r="32" spans="1:8">
      <c r="A32" s="9" t="s">
        <v>10</v>
      </c>
      <c r="B32" s="21">
        <f t="shared" si="3"/>
        <v>0</v>
      </c>
      <c r="C32" s="21">
        <f t="shared" si="4"/>
        <v>1</v>
      </c>
      <c r="D32" s="27">
        <v>0</v>
      </c>
      <c r="E32" s="28">
        <f t="shared" si="5"/>
        <v>1</v>
      </c>
      <c r="F32" s="35" t="e">
        <f t="shared" si="2"/>
        <v>#DIV/0!</v>
      </c>
      <c r="G32" s="36" t="e">
        <f t="shared" si="6"/>
        <v>#DIV/0!</v>
      </c>
      <c r="H32" s="37" t="e">
        <f t="shared" si="7"/>
        <v>#DIV/0!</v>
      </c>
    </row>
    <row r="33" spans="1:8">
      <c r="A33" s="9" t="s">
        <v>11</v>
      </c>
      <c r="B33" s="21">
        <f t="shared" si="3"/>
        <v>0</v>
      </c>
      <c r="C33" s="21">
        <f t="shared" si="4"/>
        <v>1</v>
      </c>
      <c r="D33" s="27">
        <v>0</v>
      </c>
      <c r="E33" s="28">
        <f t="shared" si="5"/>
        <v>1</v>
      </c>
      <c r="F33" s="35" t="e">
        <f t="shared" si="2"/>
        <v>#DIV/0!</v>
      </c>
      <c r="G33" s="36" t="e">
        <f t="shared" si="6"/>
        <v>#DIV/0!</v>
      </c>
      <c r="H33" s="37" t="e">
        <f t="shared" si="7"/>
        <v>#DIV/0!</v>
      </c>
    </row>
    <row r="34" spans="1:8">
      <c r="A34" s="9" t="s">
        <v>12</v>
      </c>
      <c r="B34" s="21">
        <f t="shared" si="3"/>
        <v>0</v>
      </c>
      <c r="C34" s="21">
        <f t="shared" si="4"/>
        <v>1</v>
      </c>
      <c r="D34" s="27">
        <v>0</v>
      </c>
      <c r="E34" s="28">
        <f t="shared" si="5"/>
        <v>1</v>
      </c>
      <c r="F34" s="35" t="e">
        <f t="shared" si="2"/>
        <v>#DIV/0!</v>
      </c>
      <c r="G34" s="36" t="e">
        <f t="shared" si="6"/>
        <v>#DIV/0!</v>
      </c>
      <c r="H34" s="37" t="e">
        <f t="shared" si="7"/>
        <v>#DIV/0!</v>
      </c>
    </row>
    <row r="35" spans="1:8">
      <c r="A35" s="9" t="s">
        <v>13</v>
      </c>
      <c r="B35" s="21">
        <f t="shared" si="3"/>
        <v>0</v>
      </c>
      <c r="C35" s="21">
        <f t="shared" si="4"/>
        <v>1</v>
      </c>
      <c r="D35" s="27">
        <v>0</v>
      </c>
      <c r="E35" s="28">
        <f t="shared" si="5"/>
        <v>1</v>
      </c>
      <c r="F35" s="35" t="e">
        <f t="shared" si="2"/>
        <v>#DIV/0!</v>
      </c>
      <c r="G35" s="36" t="e">
        <f t="shared" si="6"/>
        <v>#DIV/0!</v>
      </c>
      <c r="H35" s="37" t="e">
        <f t="shared" si="7"/>
        <v>#DIV/0!</v>
      </c>
    </row>
    <row r="36" spans="1:8">
      <c r="A36" s="9" t="s">
        <v>14</v>
      </c>
      <c r="B36" s="21">
        <f t="shared" si="3"/>
        <v>0</v>
      </c>
      <c r="C36" s="21">
        <f t="shared" si="4"/>
        <v>1</v>
      </c>
      <c r="D36" s="27">
        <v>0</v>
      </c>
      <c r="E36" s="28">
        <f t="shared" si="5"/>
        <v>1</v>
      </c>
      <c r="F36" s="35" t="e">
        <f t="shared" si="2"/>
        <v>#DIV/0!</v>
      </c>
      <c r="G36" s="36" t="e">
        <f t="shared" si="6"/>
        <v>#DIV/0!</v>
      </c>
      <c r="H36" s="37" t="e">
        <f t="shared" si="7"/>
        <v>#DIV/0!</v>
      </c>
    </row>
    <row r="37" spans="1:8">
      <c r="A37" s="9" t="s">
        <v>15</v>
      </c>
      <c r="B37" s="21">
        <f t="shared" si="3"/>
        <v>0</v>
      </c>
      <c r="C37" s="21">
        <f t="shared" si="4"/>
        <v>1</v>
      </c>
      <c r="D37" s="27">
        <v>0</v>
      </c>
      <c r="E37" s="28">
        <f t="shared" si="5"/>
        <v>1</v>
      </c>
      <c r="F37" s="35" t="e">
        <f t="shared" si="2"/>
        <v>#DIV/0!</v>
      </c>
      <c r="G37" s="36" t="e">
        <f t="shared" si="6"/>
        <v>#DIV/0!</v>
      </c>
      <c r="H37" s="37" t="e">
        <f t="shared" si="7"/>
        <v>#DIV/0!</v>
      </c>
    </row>
    <row r="38" spans="1:8" ht="15.75" thickBot="1">
      <c r="A38" s="10" t="s">
        <v>16</v>
      </c>
      <c r="B38" s="22">
        <f t="shared" si="3"/>
        <v>0</v>
      </c>
      <c r="C38" s="22">
        <f t="shared" si="4"/>
        <v>1</v>
      </c>
      <c r="D38" s="29">
        <v>0</v>
      </c>
      <c r="E38" s="30">
        <f t="shared" si="5"/>
        <v>1</v>
      </c>
      <c r="F38" s="38" t="e">
        <f t="shared" si="2"/>
        <v>#DIV/0!</v>
      </c>
      <c r="G38" s="39" t="e">
        <f t="shared" si="6"/>
        <v>#DIV/0!</v>
      </c>
      <c r="H38" s="40" t="e">
        <f t="shared" si="7"/>
        <v>#DIV/0!</v>
      </c>
    </row>
  </sheetData>
  <mergeCells count="5">
    <mergeCell ref="G5:H5"/>
    <mergeCell ref="A6:D6"/>
    <mergeCell ref="A23:D23"/>
    <mergeCell ref="A1:F1"/>
    <mergeCell ref="B3:D3"/>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CDD1-0D23-40B6-A52F-43B9864D1E3D}">
  <dimension ref="A1:A35"/>
  <sheetViews>
    <sheetView workbookViewId="0">
      <selection activeCell="R11" sqref="R11"/>
    </sheetView>
  </sheetViews>
  <sheetFormatPr defaultRowHeight="15"/>
  <cols>
    <col min="1" max="1" width="50.42578125" style="47" customWidth="1"/>
  </cols>
  <sheetData>
    <row r="1" spans="1:1" ht="17.25">
      <c r="A1" s="41" t="s">
        <v>37</v>
      </c>
    </row>
    <row r="2" spans="1:1">
      <c r="A2" s="42"/>
    </row>
    <row r="3" spans="1:1" ht="17.25">
      <c r="A3" s="43" t="s">
        <v>38</v>
      </c>
    </row>
    <row r="4" spans="1:1">
      <c r="A4" s="44"/>
    </row>
    <row r="5" spans="1:1">
      <c r="A5" s="45" t="s">
        <v>39</v>
      </c>
    </row>
    <row r="6" spans="1:1">
      <c r="A6" s="46" t="s">
        <v>40</v>
      </c>
    </row>
    <row r="8" spans="1:1" ht="17.25">
      <c r="A8" s="41" t="s">
        <v>41</v>
      </c>
    </row>
    <row r="9" spans="1:1">
      <c r="A9" s="42"/>
    </row>
    <row r="10" spans="1:1" ht="17.25">
      <c r="A10" s="43" t="s">
        <v>42</v>
      </c>
    </row>
    <row r="11" spans="1:1">
      <c r="A11" s="44"/>
    </row>
    <row r="12" spans="1:1">
      <c r="A12" s="45" t="s">
        <v>39</v>
      </c>
    </row>
    <row r="13" spans="1:1">
      <c r="A13" s="46" t="s">
        <v>43</v>
      </c>
    </row>
    <row r="15" spans="1:1" ht="17.25">
      <c r="A15" s="41" t="s">
        <v>44</v>
      </c>
    </row>
    <row r="16" spans="1:1">
      <c r="A16" s="42"/>
    </row>
    <row r="17" spans="1:1" ht="17.25">
      <c r="A17" s="43" t="s">
        <v>45</v>
      </c>
    </row>
    <row r="18" spans="1:1">
      <c r="A18" s="44"/>
    </row>
    <row r="19" spans="1:1">
      <c r="A19" s="45" t="s">
        <v>39</v>
      </c>
    </row>
    <row r="20" spans="1:1">
      <c r="A20" s="46" t="s">
        <v>48</v>
      </c>
    </row>
    <row r="22" spans="1:1" ht="17.25">
      <c r="A22" s="41" t="s">
        <v>46</v>
      </c>
    </row>
    <row r="24" spans="1:1" ht="17.25">
      <c r="A24" s="41" t="s">
        <v>47</v>
      </c>
    </row>
    <row r="27" spans="1:1" ht="51.75">
      <c r="A27" s="53" t="s">
        <v>58</v>
      </c>
    </row>
    <row r="28" spans="1:1">
      <c r="A28" s="54"/>
    </row>
    <row r="29" spans="1:1" ht="86.25">
      <c r="A29" s="55" t="s">
        <v>59</v>
      </c>
    </row>
    <row r="30" spans="1:1" ht="86.25">
      <c r="A30" s="55" t="s">
        <v>60</v>
      </c>
    </row>
    <row r="31" spans="1:1" ht="103.5">
      <c r="A31" s="55" t="s">
        <v>61</v>
      </c>
    </row>
    <row r="32" spans="1:1" ht="103.5">
      <c r="A32" s="55" t="s">
        <v>62</v>
      </c>
    </row>
    <row r="33" spans="1:1" ht="69">
      <c r="A33" s="55" t="s">
        <v>63</v>
      </c>
    </row>
    <row r="34" spans="1:1">
      <c r="A34" s="56"/>
    </row>
    <row r="35" spans="1:1" ht="69">
      <c r="A35" s="53"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EA18-25AA-4473-8D06-ADF39736BCE1}">
  <dimension ref="A1:A11"/>
  <sheetViews>
    <sheetView workbookViewId="0">
      <selection activeCell="M8" sqref="M8"/>
    </sheetView>
  </sheetViews>
  <sheetFormatPr defaultRowHeight="15"/>
  <cols>
    <col min="1" max="1" width="69.42578125" customWidth="1"/>
  </cols>
  <sheetData>
    <row r="1" spans="1:1" ht="115.5">
      <c r="A1" s="50" t="s">
        <v>50</v>
      </c>
    </row>
    <row r="2" spans="1:1">
      <c r="A2" s="49"/>
    </row>
    <row r="3" spans="1:1" ht="16.5">
      <c r="A3" s="50" t="s">
        <v>51</v>
      </c>
    </row>
    <row r="4" spans="1:1">
      <c r="A4" s="51"/>
    </row>
    <row r="5" spans="1:1" ht="66">
      <c r="A5" s="52" t="s">
        <v>52</v>
      </c>
    </row>
    <row r="6" spans="1:1" ht="49.5">
      <c r="A6" s="52" t="s">
        <v>53</v>
      </c>
    </row>
    <row r="7" spans="1:1" ht="49.5">
      <c r="A7" s="52" t="s">
        <v>54</v>
      </c>
    </row>
    <row r="8" spans="1:1" ht="49.5">
      <c r="A8" s="52" t="s">
        <v>55</v>
      </c>
    </row>
    <row r="9" spans="1:1" ht="49.5">
      <c r="A9" s="52" t="s">
        <v>56</v>
      </c>
    </row>
    <row r="10" spans="1:1">
      <c r="A10" s="49"/>
    </row>
    <row r="11" spans="1:1" ht="49.5">
      <c r="A11" s="50"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4179-8268-47D4-8C4A-009813122221}">
  <dimension ref="A1"/>
  <sheetViews>
    <sheetView workbookViewId="0">
      <selection activeCell="D25" sqref="D25"/>
    </sheetView>
  </sheetViews>
  <sheetFormatPr defaultRowHeight="15"/>
  <cols>
    <col min="1" max="1" width="113.7109375" customWidth="1"/>
  </cols>
  <sheetData>
    <row r="1" spans="1:1" ht="90">
      <c r="A1" s="48" t="s">
        <v>49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0D403-711F-45F8-9B70-56AE2404789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Kelly Calculator</vt:lpstr>
      <vt:lpstr>Baseball</vt:lpstr>
      <vt:lpstr>Football</vt:lpstr>
      <vt:lpstr>Basketball</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Russella</dc:creator>
  <cp:lastModifiedBy>Charles Russella</cp:lastModifiedBy>
  <dcterms:created xsi:type="dcterms:W3CDTF">2023-01-18T15:33:05Z</dcterms:created>
  <dcterms:modified xsi:type="dcterms:W3CDTF">2023-01-23T07:04:47Z</dcterms:modified>
</cp:coreProperties>
</file>