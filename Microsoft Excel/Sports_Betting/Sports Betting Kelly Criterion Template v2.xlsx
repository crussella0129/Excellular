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F:\Personal\Documents\Miscellaneous Docs\"/>
    </mc:Choice>
  </mc:AlternateContent>
  <xr:revisionPtr revIDLastSave="0" documentId="13_ncr:1_{192E3DE1-5388-4A5C-A310-54180DEE3DFE}" xr6:coauthVersionLast="47" xr6:coauthVersionMax="47" xr10:uidLastSave="{00000000-0000-0000-0000-000000000000}"/>
  <bookViews>
    <workbookView xWindow="-120" yWindow="-120" windowWidth="38640" windowHeight="21120" xr2:uid="{222EB7BF-55A3-4FF3-9164-7F4D77133A81}"/>
  </bookViews>
  <sheets>
    <sheet name="Kelly Calculator" sheetId="1" r:id="rId1"/>
    <sheet name="Baseball" sheetId="2" r:id="rId2"/>
    <sheet name="Football" sheetId="3" r:id="rId3"/>
    <sheet name="Basketball"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 r="I10" i="1"/>
  <c r="I11" i="1"/>
  <c r="I12" i="1"/>
  <c r="I13" i="1"/>
  <c r="I14" i="1"/>
  <c r="I15" i="1"/>
  <c r="I16" i="1"/>
  <c r="I17" i="1"/>
  <c r="I18" i="1"/>
  <c r="I19" i="1"/>
  <c r="I20" i="1"/>
  <c r="I21" i="1"/>
  <c r="I8" i="1"/>
  <c r="H9" i="1"/>
  <c r="H10" i="1"/>
  <c r="H11" i="1"/>
  <c r="H12" i="1"/>
  <c r="H13" i="1"/>
  <c r="H14" i="1"/>
  <c r="H15" i="1"/>
  <c r="H16" i="1"/>
  <c r="H17" i="1"/>
  <c r="H18" i="1"/>
  <c r="H19" i="1"/>
  <c r="H20" i="1"/>
  <c r="H21" i="1"/>
  <c r="H8" i="1"/>
  <c r="E9" i="1"/>
  <c r="E10" i="1"/>
  <c r="E11" i="1"/>
  <c r="E12" i="1"/>
  <c r="E13" i="1"/>
  <c r="E14" i="1"/>
  <c r="E15" i="1"/>
  <c r="E16" i="1"/>
  <c r="E17" i="1"/>
  <c r="E18" i="1"/>
  <c r="E19" i="1"/>
  <c r="E20" i="1"/>
  <c r="E21" i="1"/>
  <c r="E8" i="1"/>
  <c r="L9" i="1"/>
  <c r="L10" i="1"/>
  <c r="L11" i="1"/>
  <c r="L12" i="1"/>
  <c r="L13" i="1"/>
  <c r="L14" i="1"/>
  <c r="L15" i="1"/>
  <c r="L16" i="1"/>
  <c r="L17" i="1"/>
  <c r="L18" i="1"/>
  <c r="L19" i="1"/>
  <c r="L20" i="1"/>
  <c r="L21" i="1"/>
  <c r="L8" i="1"/>
  <c r="C9" i="1"/>
  <c r="C10" i="1"/>
  <c r="C11" i="1"/>
  <c r="C12" i="1"/>
  <c r="C13" i="1"/>
  <c r="C14" i="1"/>
  <c r="F14" i="1" s="1"/>
  <c r="M14" i="1" s="1"/>
  <c r="C15" i="1"/>
  <c r="F15" i="1" s="1"/>
  <c r="M15" i="1" s="1"/>
  <c r="C16" i="1"/>
  <c r="C17" i="1"/>
  <c r="C18" i="1"/>
  <c r="C19" i="1"/>
  <c r="C20" i="1"/>
  <c r="C21" i="1"/>
  <c r="C8" i="1"/>
  <c r="F17" i="1" l="1"/>
  <c r="M17" i="1" s="1"/>
  <c r="N17" i="1" s="1"/>
  <c r="O17" i="1" s="1"/>
  <c r="P17" i="1" s="1"/>
  <c r="R17" i="1" s="1"/>
  <c r="F16" i="1"/>
  <c r="M16" i="1" s="1"/>
  <c r="N16" i="1" s="1"/>
  <c r="O16" i="1" s="1"/>
  <c r="P16" i="1" s="1"/>
  <c r="R16" i="1" s="1"/>
  <c r="N15" i="1"/>
  <c r="O15" i="1" s="1"/>
  <c r="P15" i="1" s="1"/>
  <c r="R15" i="1" s="1"/>
  <c r="N14" i="1"/>
  <c r="O14" i="1" s="1"/>
  <c r="P14" i="1" s="1"/>
  <c r="R14" i="1" s="1"/>
  <c r="F12" i="1"/>
  <c r="M12" i="1" s="1"/>
  <c r="N12" i="1" s="1"/>
  <c r="O12" i="1" s="1"/>
  <c r="P12" i="1" s="1"/>
  <c r="R12" i="1" s="1"/>
  <c r="F13" i="1"/>
  <c r="M13" i="1" s="1"/>
  <c r="N13" i="1" s="1"/>
  <c r="O13" i="1" s="1"/>
  <c r="P13" i="1" s="1"/>
  <c r="R13" i="1" s="1"/>
  <c r="F10" i="1"/>
  <c r="M10" i="1" s="1"/>
  <c r="F20" i="1"/>
  <c r="M20" i="1" s="1"/>
  <c r="F19" i="1"/>
  <c r="M19" i="1" s="1"/>
  <c r="F21" i="1"/>
  <c r="F18" i="1"/>
  <c r="M18" i="1" s="1"/>
  <c r="N18" i="1" s="1"/>
  <c r="O18" i="1" s="1"/>
  <c r="P18" i="1" s="1"/>
  <c r="R18" i="1" s="1"/>
  <c r="F11" i="1"/>
  <c r="M11" i="1" s="1"/>
  <c r="F8" i="1"/>
  <c r="F9" i="1"/>
  <c r="G14" i="1"/>
  <c r="G17" i="1"/>
  <c r="G15" i="1"/>
  <c r="G16" i="1"/>
  <c r="G21" i="1" l="1"/>
  <c r="M21" i="1"/>
  <c r="N19" i="1"/>
  <c r="O19" i="1" s="1"/>
  <c r="P19" i="1" s="1"/>
  <c r="R19" i="1" s="1"/>
  <c r="N11" i="1"/>
  <c r="O11" i="1" s="1"/>
  <c r="P11" i="1" s="1"/>
  <c r="R11" i="1" s="1"/>
  <c r="G13" i="1"/>
  <c r="G20" i="1"/>
  <c r="G18" i="1"/>
  <c r="G19" i="1"/>
  <c r="N20" i="1"/>
  <c r="O20" i="1" s="1"/>
  <c r="P20" i="1" s="1"/>
  <c r="R20" i="1" s="1"/>
  <c r="G12" i="1"/>
  <c r="G10" i="1"/>
  <c r="N10" i="1"/>
  <c r="O10" i="1" s="1"/>
  <c r="G8" i="1"/>
  <c r="M8" i="1"/>
  <c r="G11" i="1"/>
  <c r="G9" i="1"/>
  <c r="M9" i="1"/>
  <c r="P10" i="1" l="1"/>
  <c r="R10" i="1" s="1"/>
  <c r="N21" i="1"/>
  <c r="O21" i="1" s="1"/>
  <c r="P21" i="1" s="1"/>
  <c r="R21" i="1" s="1"/>
  <c r="N9" i="1"/>
  <c r="O9" i="1" s="1"/>
  <c r="P9" i="1" s="1"/>
  <c r="R9" i="1" s="1"/>
  <c r="N8" i="1"/>
  <c r="O8" i="1" s="1"/>
  <c r="Q8" i="1" l="1"/>
  <c r="P8" i="1"/>
  <c r="R8" i="1" s="1"/>
  <c r="O22" i="1"/>
  <c r="S9" i="1" l="1"/>
  <c r="S12" i="1"/>
  <c r="S14" i="1"/>
  <c r="S16" i="1"/>
  <c r="S18" i="1"/>
  <c r="S20" i="1"/>
  <c r="S10" i="1"/>
  <c r="S11" i="1"/>
  <c r="S13" i="1"/>
  <c r="S15" i="1"/>
  <c r="S17" i="1"/>
  <c r="S19" i="1"/>
  <c r="S21" i="1"/>
  <c r="S8" i="1"/>
</calcChain>
</file>

<file path=xl/sharedStrings.xml><?xml version="1.0" encoding="utf-8"?>
<sst xmlns="http://schemas.openxmlformats.org/spreadsheetml/2006/main" count="70" uniqueCount="68">
  <si>
    <t>Game Date:</t>
  </si>
  <si>
    <t>Sports Betting Workbook (Kelly Criterion)</t>
  </si>
  <si>
    <t>Inputs</t>
  </si>
  <si>
    <t>Outputs</t>
  </si>
  <si>
    <t>Total to Bet</t>
  </si>
  <si>
    <t>Fraction of Bankroll</t>
  </si>
  <si>
    <t>Game/Race:</t>
  </si>
  <si>
    <t>Total Bankroll To Bet ($):</t>
  </si>
  <si>
    <t>American Moneyline Odds</t>
  </si>
  <si>
    <t>Fractional Odds    (Horse Racing)</t>
  </si>
  <si>
    <t>Win to Wager Ratio</t>
  </si>
  <si>
    <t>"Eye Test" Win Chance</t>
  </si>
  <si>
    <t>"Eye Test" Loss Chance</t>
  </si>
  <si>
    <t>Fractional Odds to Given Win %</t>
  </si>
  <si>
    <t>Moneyline Odds to Given Win %</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</si>
  <si>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</si>
  <si>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</si>
  <si>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</si>
  <si>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</si>
  <si>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Where: Hits = Number of hits Home Runs = Number of home runs At-bats = Number of at-bats Strikeouts = Number of strikeouts Sacrifice Flies = Number of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</si>
  <si>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</si>
  <si>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</si>
  <si>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</si>
  <si>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</si>
  <si>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</si>
  <si>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</si>
  <si>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</si>
  <si>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</si>
  <si>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</si>
  <si>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</si>
  <si>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</si>
  <si>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</si>
  <si>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</si>
  <si>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</si>
  <si>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</si>
  <si>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</si>
  <si>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</si>
  <si>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</si>
  <si>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</si>
  <si>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</si>
  <si>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</si>
  <si>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</si>
  <si>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</si>
  <si>
    <t>Bet/Parlay/Horse 1</t>
  </si>
  <si>
    <t>Bet/Parlay/Horse 2</t>
  </si>
  <si>
    <t>Bet/Parlay/Horse 3</t>
  </si>
  <si>
    <t>Bet/Parlay/Horse 4</t>
  </si>
  <si>
    <t>Bet/Parlay/Horse 5</t>
  </si>
  <si>
    <t>Bet/Parlay/Horse 6</t>
  </si>
  <si>
    <t>Bet/Parlay/Horse 7</t>
  </si>
  <si>
    <t>Bet/Parlay/Horse 8</t>
  </si>
  <si>
    <t>Bet/Parlay/Horse 9</t>
  </si>
  <si>
    <t>Bet/Parlay/Horse 10</t>
  </si>
  <si>
    <t>Bet/Parlay/Horse 11</t>
  </si>
  <si>
    <t>Bet/Parlay/Horse 12</t>
  </si>
  <si>
    <t>Bet/Parlay/Horse 13</t>
  </si>
  <si>
    <t>Bet/Parlay/Horse 14</t>
  </si>
  <si>
    <t>Bet/Parlay/Horse</t>
  </si>
  <si>
    <t>Return on Individual Wager</t>
  </si>
  <si>
    <r>
      <t>Return on Total Wage</t>
    </r>
    <r>
      <rPr>
        <sz val="11"/>
        <color theme="1"/>
        <rFont val="Calibri"/>
        <family val="2"/>
        <scheme val="minor"/>
      </rPr>
      <t>r      (For Mutually Exclusive Bets)</t>
    </r>
  </si>
  <si>
    <t>Vig Adjusted Given Win Percentage</t>
  </si>
  <si>
    <t>Vig Adjusted Given Loss Percentage</t>
  </si>
  <si>
    <t xml:space="preserve">Vig Adjusted Expected Value +/- </t>
  </si>
  <si>
    <t>Eye Test Expected Value +/-</t>
  </si>
  <si>
    <t>Unadjusted Given Win Percentage</t>
  </si>
  <si>
    <t>Unadjusted Given Loss Percentage</t>
  </si>
  <si>
    <r>
      <rPr>
        <b/>
        <sz val="11"/>
        <color theme="1"/>
        <rFont val="Calibri"/>
        <family val="2"/>
        <scheme val="minor"/>
      </rPr>
      <t xml:space="preserve">Instructions: </t>
    </r>
    <r>
      <rPr>
        <sz val="11"/>
        <color theme="1"/>
        <rFont val="Calibri"/>
        <family val="2"/>
        <scheme val="minor"/>
      </rPr>
      <t xml:space="preserve">For </t>
    </r>
    <r>
      <rPr>
        <u/>
        <sz val="11"/>
        <color theme="1"/>
        <rFont val="Calibri"/>
        <family val="2"/>
        <scheme val="minor"/>
      </rPr>
      <t>mutually exclusive</t>
    </r>
    <r>
      <rPr>
        <sz val="11"/>
        <color theme="1"/>
        <rFont val="Calibri"/>
        <family val="2"/>
        <scheme val="minor"/>
      </rPr>
      <t xml:space="preserve"> bets, such as assessing moneyline bets on both sides of a Football, Basketball, or Baseball game, Use VIG adjusted stats and an "Either Or" Approach when calculating proceeds/returns. Avoid parlays that share legs when using this calculator (as that increases risk exposure in a way this calculator cannot account for). Do not use Vig Adjustment stats for non-mutually exclusive bets like parlays</t>
    </r>
  </si>
  <si>
    <t>Total Vigorish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</si>
</sst>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t\o\ \1"/>
    <numFmt numFmtId="165" formatCode="0.0000%"/>
    <numFmt numFmtId="166" formatCode="0.000000"/>
  </numFmts>
  <fonts count="1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
      <u/>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7">
    <xf numFmtId="0" fontId="0" fillId="0" borderId="0" xfId="0"/>
    <xf numFmtId="0" fontId="2"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14" fontId="0" fillId="0" borderId="2" xfId="0" applyNumberForma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44" fontId="0" fillId="0" borderId="0" xfId="1" applyFont="1" applyFill="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wrapText="1"/>
    </xf>
    <xf numFmtId="0" fontId="2" fillId="0" borderId="2" xfId="0" applyFont="1" applyBorder="1" applyAlignment="1">
      <alignment horizontal="center" vertical="center" wrapText="1"/>
    </xf>
    <xf numFmtId="164" fontId="2" fillId="0" borderId="0" xfId="2" applyNumberFormat="1" applyFont="1" applyBorder="1" applyAlignment="1">
      <alignment horizontal="center" vertical="center"/>
    </xf>
    <xf numFmtId="9" fontId="2" fillId="0" borderId="0" xfId="2" applyFont="1" applyBorder="1" applyAlignment="1">
      <alignment horizontal="center" vertical="center"/>
    </xf>
    <xf numFmtId="44" fontId="2" fillId="0" borderId="18" xfId="0" applyNumberFormat="1" applyFont="1" applyBorder="1"/>
    <xf numFmtId="44" fontId="2" fillId="0" borderId="0" xfId="0" applyNumberFormat="1" applyFont="1"/>
    <xf numFmtId="165" fontId="0" fillId="3" borderId="1" xfId="2" applyNumberFormat="1" applyFont="1" applyFill="1" applyBorder="1" applyAlignment="1">
      <alignment horizontal="center" vertical="center"/>
    </xf>
    <xf numFmtId="165" fontId="0" fillId="2" borderId="1" xfId="2" applyNumberFormat="1" applyFont="1" applyFill="1" applyBorder="1" applyAlignment="1">
      <alignment horizontal="center" vertical="center"/>
    </xf>
    <xf numFmtId="2" fontId="0" fillId="3"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0" fontId="0" fillId="0" borderId="0" xfId="0" applyAlignment="1">
      <alignment vertical="top" wrapText="1"/>
    </xf>
    <xf numFmtId="0" fontId="2" fillId="3" borderId="2" xfId="0" applyFont="1" applyFill="1" applyBorder="1" applyAlignment="1">
      <alignment horizontal="center" vertical="center"/>
    </xf>
    <xf numFmtId="0" fontId="2" fillId="2" borderId="2" xfId="0" applyFont="1" applyFill="1" applyBorder="1" applyAlignment="1">
      <alignment horizontal="center" vertical="center"/>
    </xf>
    <xf numFmtId="166" fontId="0" fillId="2" borderId="1" xfId="0" applyNumberFormat="1" applyFill="1" applyBorder="1" applyAlignment="1">
      <alignment horizontal="center" vertical="center"/>
    </xf>
    <xf numFmtId="44" fontId="2" fillId="2" borderId="1" xfId="1" applyFont="1" applyFill="1" applyBorder="1" applyAlignment="1">
      <alignment horizontal="center" vertical="center"/>
    </xf>
    <xf numFmtId="44" fontId="2" fillId="2" borderId="1" xfId="1" applyFont="1" applyFill="1" applyBorder="1"/>
    <xf numFmtId="44" fontId="2" fillId="3" borderId="12" xfId="1"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0" xfId="0" applyAlignment="1">
      <alignment horizont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3" xfId="0" applyBorder="1" applyAlignment="1">
      <alignment horizontal="left" vertical="center" wrapText="1"/>
    </xf>
    <xf numFmtId="0" fontId="0" fillId="0" borderId="17" xfId="0" applyBorder="1" applyAlignment="1">
      <alignment horizontal="left" vertical="center" wrapText="1"/>
    </xf>
    <xf numFmtId="0" fontId="0" fillId="0" borderId="0" xfId="0" applyAlignment="1">
      <alignment horizontal="center"/>
    </xf>
    <xf numFmtId="0" fontId="2" fillId="0" borderId="0" xfId="0" applyFont="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2" borderId="0" xfId="0"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S39"/>
  <sheetViews>
    <sheetView tabSelected="1" workbookViewId="0">
      <selection activeCell="L8" sqref="L8"/>
    </sheetView>
  </sheetViews>
  <sheetFormatPr defaultRowHeight="15"/>
  <cols>
    <col min="1" max="1" width="23" style="6" bestFit="1" customWidth="1"/>
    <col min="2" max="2" width="20.140625" style="2" customWidth="1"/>
    <col min="3" max="3" width="21" style="2" bestFit="1" customWidth="1"/>
    <col min="4" max="4" width="21.28515625" style="2" customWidth="1"/>
    <col min="5" max="5" width="21.7109375" style="2" bestFit="1" customWidth="1"/>
    <col min="6" max="6" width="20.85546875" bestFit="1" customWidth="1"/>
    <col min="7" max="7" width="21" bestFit="1" customWidth="1"/>
    <col min="8" max="8" width="17.42578125" customWidth="1"/>
    <col min="9" max="10" width="15.42578125" customWidth="1"/>
    <col min="11" max="11" width="21.7109375" bestFit="1" customWidth="1"/>
    <col min="12" max="12" width="21.42578125" bestFit="1" customWidth="1"/>
    <col min="13" max="13" width="12.28515625" bestFit="1" customWidth="1"/>
    <col min="14" max="14" width="12" bestFit="1" customWidth="1"/>
    <col min="15" max="15" width="11.140625" bestFit="1" customWidth="1"/>
    <col min="16" max="16" width="18.42578125" bestFit="1" customWidth="1"/>
    <col min="17" max="17" width="13.5703125" customWidth="1"/>
    <col min="18" max="18" width="17.140625" customWidth="1"/>
    <col min="19" max="19" width="26.140625" customWidth="1"/>
  </cols>
  <sheetData>
    <row r="1" spans="1:19" ht="27" customHeight="1" thickBot="1">
      <c r="A1" s="60" t="s">
        <v>1</v>
      </c>
      <c r="B1" s="61"/>
      <c r="C1" s="61"/>
      <c r="D1" s="61"/>
      <c r="E1" s="62"/>
      <c r="F1" s="49" t="s">
        <v>66</v>
      </c>
      <c r="G1" s="50"/>
      <c r="H1" s="50"/>
      <c r="I1" s="50"/>
      <c r="J1" s="50"/>
      <c r="K1" s="50"/>
      <c r="L1" s="50"/>
      <c r="M1" s="50"/>
      <c r="N1" s="51"/>
    </row>
    <row r="2" spans="1:19" ht="15.75" thickBot="1">
      <c r="A2" s="29" t="s">
        <v>0</v>
      </c>
      <c r="B2" s="4"/>
      <c r="F2" s="52"/>
      <c r="G2" s="53"/>
      <c r="H2" s="53"/>
      <c r="I2" s="53"/>
      <c r="J2" s="53"/>
      <c r="K2" s="53"/>
      <c r="L2" s="53"/>
      <c r="M2" s="53"/>
      <c r="N2" s="54"/>
    </row>
    <row r="3" spans="1:19" ht="15.75" customHeight="1" thickBot="1">
      <c r="A3" s="30" t="s">
        <v>6</v>
      </c>
      <c r="B3" s="63"/>
      <c r="C3" s="64"/>
      <c r="D3" s="65"/>
      <c r="F3" s="55"/>
      <c r="G3" s="56"/>
      <c r="H3" s="56"/>
      <c r="I3" s="56"/>
      <c r="J3" s="56"/>
      <c r="K3" s="56"/>
      <c r="L3" s="56"/>
      <c r="M3" s="56"/>
      <c r="N3" s="57"/>
    </row>
    <row r="4" spans="1:19" ht="15.75" thickBot="1">
      <c r="A4" s="31" t="s">
        <v>7</v>
      </c>
      <c r="B4" s="46">
        <v>200</v>
      </c>
      <c r="F4" s="41" t="s">
        <v>2</v>
      </c>
      <c r="G4" s="42" t="s">
        <v>3</v>
      </c>
      <c r="H4" s="66"/>
      <c r="I4" s="66"/>
      <c r="J4" s="66"/>
      <c r="K4" s="40"/>
      <c r="L4" s="40"/>
      <c r="M4" s="40"/>
      <c r="N4" s="40"/>
    </row>
    <row r="5" spans="1:19">
      <c r="A5" s="5"/>
      <c r="B5" s="3"/>
      <c r="F5" s="58"/>
      <c r="G5" s="58"/>
      <c r="H5" s="48"/>
      <c r="I5" s="48"/>
      <c r="J5" s="48"/>
      <c r="K5" s="40"/>
      <c r="L5" s="40"/>
      <c r="M5" s="40"/>
      <c r="N5" s="40"/>
      <c r="O5" s="40"/>
      <c r="P5" s="40"/>
      <c r="Q5" s="40"/>
    </row>
    <row r="6" spans="1:19">
      <c r="A6" s="59"/>
      <c r="B6" s="59"/>
      <c r="C6" s="59"/>
      <c r="D6" s="59"/>
      <c r="E6" s="1"/>
    </row>
    <row r="7" spans="1:19" ht="46.5" customHeight="1">
      <c r="A7" s="26" t="s">
        <v>57</v>
      </c>
      <c r="B7" s="26" t="s">
        <v>8</v>
      </c>
      <c r="C7" s="28" t="s">
        <v>14</v>
      </c>
      <c r="D7" s="26" t="s">
        <v>9</v>
      </c>
      <c r="E7" s="28" t="s">
        <v>13</v>
      </c>
      <c r="F7" s="28" t="s">
        <v>64</v>
      </c>
      <c r="G7" s="28" t="s">
        <v>65</v>
      </c>
      <c r="H7" s="28" t="s">
        <v>60</v>
      </c>
      <c r="I7" s="28" t="s">
        <v>61</v>
      </c>
      <c r="J7" s="28" t="s">
        <v>67</v>
      </c>
      <c r="K7" s="25" t="s">
        <v>11</v>
      </c>
      <c r="L7" s="27" t="s">
        <v>12</v>
      </c>
      <c r="M7" s="28" t="s">
        <v>10</v>
      </c>
      <c r="N7" s="28" t="s">
        <v>5</v>
      </c>
      <c r="O7" s="25" t="s">
        <v>4</v>
      </c>
      <c r="P7" s="26" t="s">
        <v>62</v>
      </c>
      <c r="Q7" s="26" t="s">
        <v>63</v>
      </c>
      <c r="R7" s="26" t="s">
        <v>58</v>
      </c>
      <c r="S7" s="26" t="s">
        <v>59</v>
      </c>
    </row>
    <row r="8" spans="1:19">
      <c r="A8" s="28" t="s">
        <v>43</v>
      </c>
      <c r="B8" s="7">
        <v>138</v>
      </c>
      <c r="C8" s="37">
        <f t="shared" ref="C8:C21" si="0">IF(B8&gt;0, (100/(B8+100)), (B8/-(100-B8)))</f>
        <v>0.42016806722689076</v>
      </c>
      <c r="D8" s="38"/>
      <c r="E8" s="37">
        <f t="shared" ref="E8:E21" si="1">IF(1/(D8+1)=1,0,1/(D8+1))</f>
        <v>0</v>
      </c>
      <c r="F8" s="37">
        <f t="shared" ref="F8:F21" si="2">IF(SUM(C8+E8)=1,0,SUM(C8,E8))</f>
        <v>0.42016806722689076</v>
      </c>
      <c r="G8" s="37">
        <f t="shared" ref="G8:G21" si="3">1-F8</f>
        <v>0.57983193277310918</v>
      </c>
      <c r="H8" s="37">
        <f>F8/(SUM($F$8:$F$21))</f>
        <v>0.4034723071280108</v>
      </c>
      <c r="I8" s="37">
        <f>1-H8</f>
        <v>0.59652769287198915</v>
      </c>
      <c r="J8" s="37"/>
      <c r="K8" s="36">
        <v>0.42</v>
      </c>
      <c r="L8" s="37">
        <f t="shared" ref="L8:L21" si="4">1-K8</f>
        <v>0.58000000000000007</v>
      </c>
      <c r="M8" s="39">
        <f t="shared" ref="M8:M21" si="5">IFERROR(((1/F8)-1),0)</f>
        <v>1.38</v>
      </c>
      <c r="N8" s="43">
        <f t="shared" ref="N8:N21" si="6">IFERROR(IF(K8-(L8/M8)&lt;0,0,K8-(L8/M8)),0)</f>
        <v>0</v>
      </c>
      <c r="O8" s="44">
        <f t="shared" ref="O8:O21" si="7">IFERROR((N8*$B$4),0)</f>
        <v>0</v>
      </c>
      <c r="P8" s="45">
        <f>IFERROR((O8+(O8*M8)),0)</f>
        <v>0</v>
      </c>
      <c r="Q8" s="45">
        <f>IFERROR((O8+(O8*M8)),0)</f>
        <v>0</v>
      </c>
      <c r="R8" s="47">
        <f>IFERROR((P8/O8),0)</f>
        <v>0</v>
      </c>
      <c r="S8" s="47">
        <f>IFERROR((P8/$O$22),0)</f>
        <v>0</v>
      </c>
    </row>
    <row r="9" spans="1:19">
      <c r="A9" s="28" t="s">
        <v>44</v>
      </c>
      <c r="B9" s="7">
        <v>-164</v>
      </c>
      <c r="C9" s="37">
        <f t="shared" si="0"/>
        <v>0.62121212121212122</v>
      </c>
      <c r="D9" s="38"/>
      <c r="E9" s="37">
        <f t="shared" si="1"/>
        <v>0</v>
      </c>
      <c r="F9" s="37">
        <f t="shared" si="2"/>
        <v>0.62121212121212122</v>
      </c>
      <c r="G9" s="37">
        <f t="shared" si="3"/>
        <v>0.37878787878787878</v>
      </c>
      <c r="H9" s="37">
        <f t="shared" ref="H9:H21" si="8">F9/(SUM($F$8:$F$21))</f>
        <v>0.59652769287198926</v>
      </c>
      <c r="I9" s="37">
        <f t="shared" ref="I9:I21" si="9">1-H9</f>
        <v>0.40347230712801074</v>
      </c>
      <c r="J9" s="37"/>
      <c r="K9" s="36">
        <v>0.59</v>
      </c>
      <c r="L9" s="37">
        <f t="shared" si="4"/>
        <v>0.41000000000000003</v>
      </c>
      <c r="M9" s="39">
        <f t="shared" si="5"/>
        <v>0.60975609756097571</v>
      </c>
      <c r="N9" s="43">
        <f t="shared" si="6"/>
        <v>0</v>
      </c>
      <c r="O9" s="44">
        <f t="shared" si="7"/>
        <v>0</v>
      </c>
      <c r="P9" s="45">
        <f t="shared" ref="P9:P21" si="10">IFERROR((O9+(O9*M9)),0)</f>
        <v>0</v>
      </c>
      <c r="Q9" s="45"/>
      <c r="R9" s="47">
        <f t="shared" ref="R9:R21" si="11">IFERROR((P9/O9),0)</f>
        <v>0</v>
      </c>
      <c r="S9" s="47">
        <f t="shared" ref="S9:S21" si="12">IFERROR((P9/$O$22),0)</f>
        <v>0</v>
      </c>
    </row>
    <row r="10" spans="1:19">
      <c r="A10" s="28" t="s">
        <v>45</v>
      </c>
      <c r="B10" s="7"/>
      <c r="C10" s="37">
        <f t="shared" si="0"/>
        <v>0</v>
      </c>
      <c r="D10" s="38"/>
      <c r="E10" s="37">
        <f t="shared" si="1"/>
        <v>0</v>
      </c>
      <c r="F10" s="37">
        <f t="shared" si="2"/>
        <v>0</v>
      </c>
      <c r="G10" s="37">
        <f t="shared" si="3"/>
        <v>1</v>
      </c>
      <c r="H10" s="37">
        <f t="shared" si="8"/>
        <v>0</v>
      </c>
      <c r="I10" s="37">
        <f t="shared" si="9"/>
        <v>1</v>
      </c>
      <c r="J10" s="37"/>
      <c r="K10" s="36">
        <v>0</v>
      </c>
      <c r="L10" s="37">
        <f t="shared" si="4"/>
        <v>1</v>
      </c>
      <c r="M10" s="39">
        <f t="shared" si="5"/>
        <v>0</v>
      </c>
      <c r="N10" s="43">
        <f t="shared" si="6"/>
        <v>0</v>
      </c>
      <c r="O10" s="44">
        <f t="shared" si="7"/>
        <v>0</v>
      </c>
      <c r="P10" s="45">
        <f t="shared" si="10"/>
        <v>0</v>
      </c>
      <c r="Q10" s="45"/>
      <c r="R10" s="47">
        <f t="shared" si="11"/>
        <v>0</v>
      </c>
      <c r="S10" s="47">
        <f t="shared" si="12"/>
        <v>0</v>
      </c>
    </row>
    <row r="11" spans="1:19">
      <c r="A11" s="28" t="s">
        <v>46</v>
      </c>
      <c r="B11" s="7"/>
      <c r="C11" s="37">
        <f t="shared" si="0"/>
        <v>0</v>
      </c>
      <c r="D11" s="38"/>
      <c r="E11" s="37">
        <f t="shared" si="1"/>
        <v>0</v>
      </c>
      <c r="F11" s="37">
        <f t="shared" si="2"/>
        <v>0</v>
      </c>
      <c r="G11" s="37">
        <f t="shared" si="3"/>
        <v>1</v>
      </c>
      <c r="H11" s="37">
        <f t="shared" si="8"/>
        <v>0</v>
      </c>
      <c r="I11" s="37">
        <f t="shared" si="9"/>
        <v>1</v>
      </c>
      <c r="J11" s="37"/>
      <c r="K11" s="36">
        <v>0</v>
      </c>
      <c r="L11" s="37">
        <f t="shared" si="4"/>
        <v>1</v>
      </c>
      <c r="M11" s="39">
        <f t="shared" si="5"/>
        <v>0</v>
      </c>
      <c r="N11" s="43">
        <f t="shared" si="6"/>
        <v>0</v>
      </c>
      <c r="O11" s="44">
        <f t="shared" si="7"/>
        <v>0</v>
      </c>
      <c r="P11" s="45">
        <f t="shared" si="10"/>
        <v>0</v>
      </c>
      <c r="Q11" s="45"/>
      <c r="R11" s="47">
        <f t="shared" si="11"/>
        <v>0</v>
      </c>
      <c r="S11" s="47">
        <f t="shared" si="12"/>
        <v>0</v>
      </c>
    </row>
    <row r="12" spans="1:19">
      <c r="A12" s="28" t="s">
        <v>47</v>
      </c>
      <c r="B12" s="7"/>
      <c r="C12" s="37">
        <f t="shared" si="0"/>
        <v>0</v>
      </c>
      <c r="D12" s="38"/>
      <c r="E12" s="37">
        <f t="shared" si="1"/>
        <v>0</v>
      </c>
      <c r="F12" s="37">
        <f t="shared" si="2"/>
        <v>0</v>
      </c>
      <c r="G12" s="37">
        <f t="shared" si="3"/>
        <v>1</v>
      </c>
      <c r="H12" s="37">
        <f t="shared" si="8"/>
        <v>0</v>
      </c>
      <c r="I12" s="37">
        <f t="shared" si="9"/>
        <v>1</v>
      </c>
      <c r="J12" s="37"/>
      <c r="K12" s="36">
        <v>0</v>
      </c>
      <c r="L12" s="37">
        <f t="shared" si="4"/>
        <v>1</v>
      </c>
      <c r="M12" s="39">
        <f t="shared" si="5"/>
        <v>0</v>
      </c>
      <c r="N12" s="43">
        <f t="shared" si="6"/>
        <v>0</v>
      </c>
      <c r="O12" s="44">
        <f t="shared" si="7"/>
        <v>0</v>
      </c>
      <c r="P12" s="45">
        <f t="shared" si="10"/>
        <v>0</v>
      </c>
      <c r="Q12" s="45"/>
      <c r="R12" s="47">
        <f t="shared" si="11"/>
        <v>0</v>
      </c>
      <c r="S12" s="47">
        <f t="shared" si="12"/>
        <v>0</v>
      </c>
    </row>
    <row r="13" spans="1:19">
      <c r="A13" s="28" t="s">
        <v>48</v>
      </c>
      <c r="B13" s="7"/>
      <c r="C13" s="37">
        <f t="shared" si="0"/>
        <v>0</v>
      </c>
      <c r="D13" s="38"/>
      <c r="E13" s="37">
        <f t="shared" si="1"/>
        <v>0</v>
      </c>
      <c r="F13" s="37">
        <f t="shared" si="2"/>
        <v>0</v>
      </c>
      <c r="G13" s="37">
        <f t="shared" si="3"/>
        <v>1</v>
      </c>
      <c r="H13" s="37">
        <f t="shared" si="8"/>
        <v>0</v>
      </c>
      <c r="I13" s="37">
        <f t="shared" si="9"/>
        <v>1</v>
      </c>
      <c r="J13" s="37"/>
      <c r="K13" s="36">
        <v>0</v>
      </c>
      <c r="L13" s="37">
        <f t="shared" si="4"/>
        <v>1</v>
      </c>
      <c r="M13" s="39">
        <f t="shared" si="5"/>
        <v>0</v>
      </c>
      <c r="N13" s="43">
        <f t="shared" si="6"/>
        <v>0</v>
      </c>
      <c r="O13" s="44">
        <f t="shared" si="7"/>
        <v>0</v>
      </c>
      <c r="P13" s="45">
        <f t="shared" si="10"/>
        <v>0</v>
      </c>
      <c r="Q13" s="45"/>
      <c r="R13" s="47">
        <f t="shared" si="11"/>
        <v>0</v>
      </c>
      <c r="S13" s="47">
        <f t="shared" si="12"/>
        <v>0</v>
      </c>
    </row>
    <row r="14" spans="1:19">
      <c r="A14" s="28" t="s">
        <v>49</v>
      </c>
      <c r="B14" s="7"/>
      <c r="C14" s="37">
        <f t="shared" si="0"/>
        <v>0</v>
      </c>
      <c r="D14" s="38"/>
      <c r="E14" s="37">
        <f t="shared" si="1"/>
        <v>0</v>
      </c>
      <c r="F14" s="37">
        <f t="shared" si="2"/>
        <v>0</v>
      </c>
      <c r="G14" s="37">
        <f t="shared" si="3"/>
        <v>1</v>
      </c>
      <c r="H14" s="37">
        <f t="shared" si="8"/>
        <v>0</v>
      </c>
      <c r="I14" s="37">
        <f t="shared" si="9"/>
        <v>1</v>
      </c>
      <c r="J14" s="37"/>
      <c r="K14" s="36">
        <v>0</v>
      </c>
      <c r="L14" s="37">
        <f t="shared" si="4"/>
        <v>1</v>
      </c>
      <c r="M14" s="39">
        <f t="shared" si="5"/>
        <v>0</v>
      </c>
      <c r="N14" s="43">
        <f t="shared" si="6"/>
        <v>0</v>
      </c>
      <c r="O14" s="44">
        <f t="shared" si="7"/>
        <v>0</v>
      </c>
      <c r="P14" s="45">
        <f t="shared" si="10"/>
        <v>0</v>
      </c>
      <c r="Q14" s="45"/>
      <c r="R14" s="47">
        <f t="shared" si="11"/>
        <v>0</v>
      </c>
      <c r="S14" s="47">
        <f t="shared" si="12"/>
        <v>0</v>
      </c>
    </row>
    <row r="15" spans="1:19">
      <c r="A15" s="28" t="s">
        <v>50</v>
      </c>
      <c r="B15" s="7"/>
      <c r="C15" s="37">
        <f t="shared" si="0"/>
        <v>0</v>
      </c>
      <c r="D15" s="38"/>
      <c r="E15" s="37">
        <f t="shared" si="1"/>
        <v>0</v>
      </c>
      <c r="F15" s="37">
        <f t="shared" si="2"/>
        <v>0</v>
      </c>
      <c r="G15" s="37">
        <f t="shared" si="3"/>
        <v>1</v>
      </c>
      <c r="H15" s="37">
        <f t="shared" si="8"/>
        <v>0</v>
      </c>
      <c r="I15" s="37">
        <f t="shared" si="9"/>
        <v>1</v>
      </c>
      <c r="J15" s="37"/>
      <c r="K15" s="36">
        <v>0</v>
      </c>
      <c r="L15" s="37">
        <f t="shared" si="4"/>
        <v>1</v>
      </c>
      <c r="M15" s="39">
        <f t="shared" si="5"/>
        <v>0</v>
      </c>
      <c r="N15" s="43">
        <f t="shared" si="6"/>
        <v>0</v>
      </c>
      <c r="O15" s="44">
        <f t="shared" si="7"/>
        <v>0</v>
      </c>
      <c r="P15" s="45">
        <f t="shared" si="10"/>
        <v>0</v>
      </c>
      <c r="Q15" s="45"/>
      <c r="R15" s="47">
        <f t="shared" si="11"/>
        <v>0</v>
      </c>
      <c r="S15" s="47">
        <f t="shared" si="12"/>
        <v>0</v>
      </c>
    </row>
    <row r="16" spans="1:19">
      <c r="A16" s="28" t="s">
        <v>51</v>
      </c>
      <c r="B16" s="7"/>
      <c r="C16" s="37">
        <f t="shared" si="0"/>
        <v>0</v>
      </c>
      <c r="D16" s="38"/>
      <c r="E16" s="37">
        <f t="shared" si="1"/>
        <v>0</v>
      </c>
      <c r="F16" s="37">
        <f t="shared" si="2"/>
        <v>0</v>
      </c>
      <c r="G16" s="37">
        <f t="shared" si="3"/>
        <v>1</v>
      </c>
      <c r="H16" s="37">
        <f t="shared" si="8"/>
        <v>0</v>
      </c>
      <c r="I16" s="37">
        <f t="shared" si="9"/>
        <v>1</v>
      </c>
      <c r="J16" s="37"/>
      <c r="K16" s="36">
        <v>0</v>
      </c>
      <c r="L16" s="37">
        <f t="shared" si="4"/>
        <v>1</v>
      </c>
      <c r="M16" s="39">
        <f t="shared" si="5"/>
        <v>0</v>
      </c>
      <c r="N16" s="43">
        <f t="shared" si="6"/>
        <v>0</v>
      </c>
      <c r="O16" s="44">
        <f t="shared" si="7"/>
        <v>0</v>
      </c>
      <c r="P16" s="45">
        <f t="shared" si="10"/>
        <v>0</v>
      </c>
      <c r="Q16" s="45"/>
      <c r="R16" s="47">
        <f t="shared" si="11"/>
        <v>0</v>
      </c>
      <c r="S16" s="47">
        <f t="shared" si="12"/>
        <v>0</v>
      </c>
    </row>
    <row r="17" spans="1:19">
      <c r="A17" s="28" t="s">
        <v>52</v>
      </c>
      <c r="B17" s="7"/>
      <c r="C17" s="37">
        <f t="shared" si="0"/>
        <v>0</v>
      </c>
      <c r="D17" s="38"/>
      <c r="E17" s="37">
        <f t="shared" si="1"/>
        <v>0</v>
      </c>
      <c r="F17" s="37">
        <f t="shared" si="2"/>
        <v>0</v>
      </c>
      <c r="G17" s="37">
        <f t="shared" si="3"/>
        <v>1</v>
      </c>
      <c r="H17" s="37">
        <f t="shared" si="8"/>
        <v>0</v>
      </c>
      <c r="I17" s="37">
        <f t="shared" si="9"/>
        <v>1</v>
      </c>
      <c r="J17" s="37"/>
      <c r="K17" s="36">
        <v>0</v>
      </c>
      <c r="L17" s="37">
        <f t="shared" si="4"/>
        <v>1</v>
      </c>
      <c r="M17" s="39">
        <f t="shared" si="5"/>
        <v>0</v>
      </c>
      <c r="N17" s="43">
        <f t="shared" si="6"/>
        <v>0</v>
      </c>
      <c r="O17" s="44">
        <f t="shared" si="7"/>
        <v>0</v>
      </c>
      <c r="P17" s="45">
        <f t="shared" si="10"/>
        <v>0</v>
      </c>
      <c r="Q17" s="45"/>
      <c r="R17" s="47">
        <f t="shared" si="11"/>
        <v>0</v>
      </c>
      <c r="S17" s="47">
        <f t="shared" si="12"/>
        <v>0</v>
      </c>
    </row>
    <row r="18" spans="1:19">
      <c r="A18" s="28" t="s">
        <v>53</v>
      </c>
      <c r="B18" s="7"/>
      <c r="C18" s="37">
        <f t="shared" si="0"/>
        <v>0</v>
      </c>
      <c r="D18" s="38"/>
      <c r="E18" s="37">
        <f t="shared" si="1"/>
        <v>0</v>
      </c>
      <c r="F18" s="37">
        <f t="shared" si="2"/>
        <v>0</v>
      </c>
      <c r="G18" s="37">
        <f t="shared" si="3"/>
        <v>1</v>
      </c>
      <c r="H18" s="37">
        <f t="shared" si="8"/>
        <v>0</v>
      </c>
      <c r="I18" s="37">
        <f t="shared" si="9"/>
        <v>1</v>
      </c>
      <c r="J18" s="37"/>
      <c r="K18" s="36">
        <v>0</v>
      </c>
      <c r="L18" s="37">
        <f t="shared" si="4"/>
        <v>1</v>
      </c>
      <c r="M18" s="39">
        <f t="shared" si="5"/>
        <v>0</v>
      </c>
      <c r="N18" s="43">
        <f t="shared" si="6"/>
        <v>0</v>
      </c>
      <c r="O18" s="44">
        <f t="shared" si="7"/>
        <v>0</v>
      </c>
      <c r="P18" s="45">
        <f t="shared" si="10"/>
        <v>0</v>
      </c>
      <c r="Q18" s="45"/>
      <c r="R18" s="47">
        <f t="shared" si="11"/>
        <v>0</v>
      </c>
      <c r="S18" s="47">
        <f t="shared" si="12"/>
        <v>0</v>
      </c>
    </row>
    <row r="19" spans="1:19">
      <c r="A19" s="28" t="s">
        <v>54</v>
      </c>
      <c r="B19" s="7"/>
      <c r="C19" s="37">
        <f t="shared" si="0"/>
        <v>0</v>
      </c>
      <c r="D19" s="38"/>
      <c r="E19" s="37">
        <f t="shared" si="1"/>
        <v>0</v>
      </c>
      <c r="F19" s="37">
        <f t="shared" si="2"/>
        <v>0</v>
      </c>
      <c r="G19" s="37">
        <f t="shared" si="3"/>
        <v>1</v>
      </c>
      <c r="H19" s="37">
        <f t="shared" si="8"/>
        <v>0</v>
      </c>
      <c r="I19" s="37">
        <f t="shared" si="9"/>
        <v>1</v>
      </c>
      <c r="J19" s="37"/>
      <c r="K19" s="36">
        <v>0</v>
      </c>
      <c r="L19" s="37">
        <f t="shared" si="4"/>
        <v>1</v>
      </c>
      <c r="M19" s="39">
        <f t="shared" si="5"/>
        <v>0</v>
      </c>
      <c r="N19" s="43">
        <f t="shared" si="6"/>
        <v>0</v>
      </c>
      <c r="O19" s="44">
        <f t="shared" si="7"/>
        <v>0</v>
      </c>
      <c r="P19" s="45">
        <f t="shared" si="10"/>
        <v>0</v>
      </c>
      <c r="Q19" s="45"/>
      <c r="R19" s="47">
        <f t="shared" si="11"/>
        <v>0</v>
      </c>
      <c r="S19" s="47">
        <f t="shared" si="12"/>
        <v>0</v>
      </c>
    </row>
    <row r="20" spans="1:19">
      <c r="A20" s="28" t="s">
        <v>55</v>
      </c>
      <c r="B20" s="7"/>
      <c r="C20" s="37">
        <f t="shared" si="0"/>
        <v>0</v>
      </c>
      <c r="D20" s="38"/>
      <c r="E20" s="37">
        <f t="shared" si="1"/>
        <v>0</v>
      </c>
      <c r="F20" s="37">
        <f t="shared" si="2"/>
        <v>0</v>
      </c>
      <c r="G20" s="37">
        <f t="shared" si="3"/>
        <v>1</v>
      </c>
      <c r="H20" s="37">
        <f t="shared" si="8"/>
        <v>0</v>
      </c>
      <c r="I20" s="37">
        <f t="shared" si="9"/>
        <v>1</v>
      </c>
      <c r="J20" s="37"/>
      <c r="K20" s="36">
        <v>0</v>
      </c>
      <c r="L20" s="37">
        <f t="shared" si="4"/>
        <v>1</v>
      </c>
      <c r="M20" s="39">
        <f t="shared" si="5"/>
        <v>0</v>
      </c>
      <c r="N20" s="43">
        <f t="shared" si="6"/>
        <v>0</v>
      </c>
      <c r="O20" s="44">
        <f t="shared" si="7"/>
        <v>0</v>
      </c>
      <c r="P20" s="45">
        <f t="shared" si="10"/>
        <v>0</v>
      </c>
      <c r="Q20" s="45"/>
      <c r="R20" s="47">
        <f t="shared" si="11"/>
        <v>0</v>
      </c>
      <c r="S20" s="47">
        <f t="shared" si="12"/>
        <v>0</v>
      </c>
    </row>
    <row r="21" spans="1:19">
      <c r="A21" s="28" t="s">
        <v>56</v>
      </c>
      <c r="B21" s="7"/>
      <c r="C21" s="37">
        <f t="shared" si="0"/>
        <v>0</v>
      </c>
      <c r="D21" s="38"/>
      <c r="E21" s="37">
        <f t="shared" si="1"/>
        <v>0</v>
      </c>
      <c r="F21" s="37">
        <f t="shared" si="2"/>
        <v>0</v>
      </c>
      <c r="G21" s="37">
        <f t="shared" si="3"/>
        <v>1</v>
      </c>
      <c r="H21" s="37">
        <f t="shared" si="8"/>
        <v>0</v>
      </c>
      <c r="I21" s="37">
        <f t="shared" si="9"/>
        <v>1</v>
      </c>
      <c r="J21" s="37"/>
      <c r="K21" s="36">
        <v>0</v>
      </c>
      <c r="L21" s="37">
        <f t="shared" si="4"/>
        <v>1</v>
      </c>
      <c r="M21" s="39">
        <f t="shared" si="5"/>
        <v>0</v>
      </c>
      <c r="N21" s="43">
        <f t="shared" si="6"/>
        <v>0</v>
      </c>
      <c r="O21" s="44">
        <f t="shared" si="7"/>
        <v>0</v>
      </c>
      <c r="P21" s="45">
        <f t="shared" si="10"/>
        <v>0</v>
      </c>
      <c r="Q21" s="45"/>
      <c r="R21" s="47">
        <f t="shared" si="11"/>
        <v>0</v>
      </c>
      <c r="S21" s="47">
        <f t="shared" si="12"/>
        <v>0</v>
      </c>
    </row>
    <row r="22" spans="1:19" ht="15.75" thickBot="1">
      <c r="O22" s="34">
        <f>SUM(O8:O21)</f>
        <v>0</v>
      </c>
      <c r="P22" s="35"/>
      <c r="Q22" s="35"/>
      <c r="R22" s="32"/>
      <c r="S22" s="33"/>
    </row>
    <row r="23" spans="1:19" ht="15.75" thickTop="1">
      <c r="A23" s="59"/>
      <c r="B23" s="59"/>
      <c r="C23" s="59"/>
      <c r="D23" s="59"/>
      <c r="E23" s="1"/>
    </row>
    <row r="39" spans="11:11">
      <c r="K39" s="24"/>
    </row>
  </sheetData>
  <mergeCells count="6">
    <mergeCell ref="F1:N3"/>
    <mergeCell ref="F5:G5"/>
    <mergeCell ref="A6:D6"/>
    <mergeCell ref="A23:D23"/>
    <mergeCell ref="A1:E1"/>
    <mergeCell ref="B3:D3"/>
  </mergeCells>
  <phoneticPr fontId="3" type="noConversion"/>
  <pageMargins left="0.7" right="0.7" top="0.75" bottom="0.75" header="0.3" footer="0.3"/>
  <pageSetup orientation="portrait" r:id="rId1"/>
  <ignoredErrors>
    <ignoredError sqref="H8:H2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R11" sqref="R11"/>
    </sheetView>
  </sheetViews>
  <sheetFormatPr defaultRowHeight="15"/>
  <cols>
    <col min="1" max="1" width="50.42578125" style="14" customWidth="1"/>
  </cols>
  <sheetData>
    <row r="1" spans="1:1" ht="17.25">
      <c r="A1" s="8" t="s">
        <v>15</v>
      </c>
    </row>
    <row r="2" spans="1:1">
      <c r="A2" s="9"/>
    </row>
    <row r="3" spans="1:1" ht="17.25">
      <c r="A3" s="10" t="s">
        <v>16</v>
      </c>
    </row>
    <row r="4" spans="1:1">
      <c r="A4" s="11"/>
    </row>
    <row r="5" spans="1:1">
      <c r="A5" s="12" t="s">
        <v>17</v>
      </c>
    </row>
    <row r="6" spans="1:1">
      <c r="A6" s="13" t="s">
        <v>18</v>
      </c>
    </row>
    <row r="8" spans="1:1" ht="17.25">
      <c r="A8" s="8" t="s">
        <v>19</v>
      </c>
    </row>
    <row r="9" spans="1:1">
      <c r="A9" s="9"/>
    </row>
    <row r="10" spans="1:1" ht="17.25">
      <c r="A10" s="10" t="s">
        <v>20</v>
      </c>
    </row>
    <row r="11" spans="1:1">
      <c r="A11" s="11"/>
    </row>
    <row r="12" spans="1:1">
      <c r="A12" s="12" t="s">
        <v>17</v>
      </c>
    </row>
    <row r="13" spans="1:1">
      <c r="A13" s="13" t="s">
        <v>21</v>
      </c>
    </row>
    <row r="15" spans="1:1" ht="17.25">
      <c r="A15" s="8" t="s">
        <v>22</v>
      </c>
    </row>
    <row r="16" spans="1:1">
      <c r="A16" s="9"/>
    </row>
    <row r="17" spans="1:1" ht="17.25">
      <c r="A17" s="10" t="s">
        <v>23</v>
      </c>
    </row>
    <row r="18" spans="1:1">
      <c r="A18" s="11"/>
    </row>
    <row r="19" spans="1:1">
      <c r="A19" s="12" t="s">
        <v>17</v>
      </c>
    </row>
    <row r="20" spans="1:1">
      <c r="A20" s="13" t="s">
        <v>26</v>
      </c>
    </row>
    <row r="22" spans="1:1" ht="17.25">
      <c r="A22" s="8" t="s">
        <v>24</v>
      </c>
    </row>
    <row r="24" spans="1:1" ht="17.25">
      <c r="A24" s="8" t="s">
        <v>25</v>
      </c>
    </row>
    <row r="27" spans="1:1" ht="51.75">
      <c r="A27" s="20" t="s">
        <v>36</v>
      </c>
    </row>
    <row r="28" spans="1:1">
      <c r="A28" s="21"/>
    </row>
    <row r="29" spans="1:1" ht="86.25">
      <c r="A29" s="22" t="s">
        <v>37</v>
      </c>
    </row>
    <row r="30" spans="1:1" ht="86.25">
      <c r="A30" s="22" t="s">
        <v>38</v>
      </c>
    </row>
    <row r="31" spans="1:1" ht="103.5">
      <c r="A31" s="22" t="s">
        <v>39</v>
      </c>
    </row>
    <row r="32" spans="1:1" ht="103.5">
      <c r="A32" s="22" t="s">
        <v>40</v>
      </c>
    </row>
    <row r="33" spans="1:1" ht="69">
      <c r="A33" s="22" t="s">
        <v>41</v>
      </c>
    </row>
    <row r="34" spans="1:1">
      <c r="A34" s="23"/>
    </row>
    <row r="35" spans="1:1" ht="69">
      <c r="A35" s="20"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17" t="s">
        <v>28</v>
      </c>
    </row>
    <row r="2" spans="1:1">
      <c r="A2" s="16"/>
    </row>
    <row r="3" spans="1:1" ht="16.5">
      <c r="A3" s="17" t="s">
        <v>29</v>
      </c>
    </row>
    <row r="4" spans="1:1">
      <c r="A4" s="18"/>
    </row>
    <row r="5" spans="1:1" ht="66">
      <c r="A5" s="19" t="s">
        <v>30</v>
      </c>
    </row>
    <row r="6" spans="1:1" ht="49.5">
      <c r="A6" s="19" t="s">
        <v>31</v>
      </c>
    </row>
    <row r="7" spans="1:1" ht="49.5">
      <c r="A7" s="19" t="s">
        <v>32</v>
      </c>
    </row>
    <row r="8" spans="1:1" ht="49.5">
      <c r="A8" s="19" t="s">
        <v>33</v>
      </c>
    </row>
    <row r="9" spans="1:1" ht="49.5">
      <c r="A9" s="19" t="s">
        <v>34</v>
      </c>
    </row>
    <row r="10" spans="1:1">
      <c r="A10" s="16"/>
    </row>
    <row r="11" spans="1:1" ht="49.5">
      <c r="A11" s="17"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D25" sqref="D25"/>
    </sheetView>
  </sheetViews>
  <sheetFormatPr defaultRowHeight="15"/>
  <cols>
    <col min="1" max="1" width="113.7109375" customWidth="1"/>
  </cols>
  <sheetData>
    <row r="1" spans="1:1" ht="90">
      <c r="A1" s="15" t="s">
        <v>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D403-711F-45F8-9B70-56AE2404789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Kelly Calculator</vt:lpstr>
      <vt:lpstr>Baseball</vt:lpstr>
      <vt:lpstr>Football</vt:lpstr>
      <vt:lpstr>Basketball</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2023-01-25T17:52:21Z</dcterms:modified>
</cp:coreProperties>
</file>