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https://d.docs.live.net/453d5529aec4085a/Documents/"/>
    </mc:Choice>
  </mc:AlternateContent>
  <xr:revisionPtr revIDLastSave="0" documentId="8_{3C8FDB7F-EE1D-4F7C-AD4B-7950A40E1D44}" xr6:coauthVersionLast="47" xr6:coauthVersionMax="47" xr10:uidLastSave="{00000000-0000-0000-0000-000000000000}"/>
  <bookViews>
    <workbookView xWindow="-120" yWindow="-120" windowWidth="38640" windowHeight="21120" xr2:uid="{222EB7BF-55A3-4FF3-9164-7F4D77133A81}"/>
  </bookViews>
  <sheets>
    <sheet name="Kelly Calculator" sheetId="1" r:id="rId1"/>
    <sheet name="Baseball" sheetId="2" r:id="rId2"/>
    <sheet name="Basketball" sheetId="4" r:id="rId3"/>
    <sheet name="Football" sheetId="3" r:id="rId4"/>
    <sheet name="Horse Racing" sheetId="6" r:id="rId5"/>
    <sheet name="Stats knowledge"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1" l="1"/>
  <c r="C28" i="1"/>
  <c r="C29" i="1"/>
  <c r="C30" i="1"/>
  <c r="J30" i="1" s="1"/>
  <c r="C31" i="1"/>
  <c r="J31" i="1" s="1"/>
  <c r="C32" i="1"/>
  <c r="J32" i="1" s="1"/>
  <c r="C33" i="1"/>
  <c r="J33" i="1" s="1"/>
  <c r="C34" i="1"/>
  <c r="J34" i="1" s="1"/>
  <c r="C35" i="1"/>
  <c r="J35" i="1" s="1"/>
  <c r="C36" i="1"/>
  <c r="D36" i="1" s="1"/>
  <c r="C37" i="1"/>
  <c r="D37" i="1" s="1"/>
  <c r="C38" i="1"/>
  <c r="D38" i="1" s="1"/>
  <c r="C39" i="1"/>
  <c r="D39" i="1" s="1"/>
  <c r="C26" i="1"/>
  <c r="C8" i="1"/>
  <c r="D8" i="1" s="1"/>
  <c r="H10" i="1"/>
  <c r="H40" i="1"/>
  <c r="C14" i="1"/>
  <c r="D14" i="1" s="1"/>
  <c r="C15" i="1"/>
  <c r="K15" i="1" s="1"/>
  <c r="C16" i="1"/>
  <c r="D16" i="1" s="1"/>
  <c r="C17" i="1"/>
  <c r="K17" i="1" s="1"/>
  <c r="C18" i="1"/>
  <c r="D18" i="1" s="1"/>
  <c r="C19" i="1"/>
  <c r="K19" i="1" s="1"/>
  <c r="E19" i="1" s="1"/>
  <c r="C20" i="1"/>
  <c r="D20" i="1" s="1"/>
  <c r="C21" i="1"/>
  <c r="D21" i="1" s="1"/>
  <c r="C22" i="1"/>
  <c r="K22" i="1" s="1"/>
  <c r="E22" i="1" s="1"/>
  <c r="I8" i="1"/>
  <c r="I9" i="1"/>
  <c r="J13" i="1"/>
  <c r="C13" i="1"/>
  <c r="D13" i="1" s="1"/>
  <c r="I39" i="1"/>
  <c r="I38" i="1"/>
  <c r="I37" i="1"/>
  <c r="I36" i="1"/>
  <c r="I35" i="1"/>
  <c r="I34" i="1"/>
  <c r="I33" i="1"/>
  <c r="I32" i="1"/>
  <c r="I31" i="1"/>
  <c r="I30" i="1"/>
  <c r="I29" i="1"/>
  <c r="J29" i="1"/>
  <c r="I28" i="1"/>
  <c r="D28" i="1"/>
  <c r="I27" i="1"/>
  <c r="J27" i="1"/>
  <c r="I26" i="1"/>
  <c r="D26" i="1"/>
  <c r="C9" i="1"/>
  <c r="D9" i="1" s="1"/>
  <c r="K14" i="1" l="1"/>
  <c r="D32" i="1"/>
  <c r="D31" i="1"/>
  <c r="D33" i="1"/>
  <c r="J38" i="1"/>
  <c r="K38" i="1" s="1"/>
  <c r="L38" i="1" s="1"/>
  <c r="M38" i="1" s="1"/>
  <c r="J37" i="1"/>
  <c r="K37" i="1" s="1"/>
  <c r="L37" i="1" s="1"/>
  <c r="M37" i="1" s="1"/>
  <c r="D34" i="1"/>
  <c r="J36" i="1"/>
  <c r="K36" i="1" s="1"/>
  <c r="L36" i="1" s="1"/>
  <c r="M36" i="1" s="1"/>
  <c r="K21" i="1"/>
  <c r="E21" i="1" s="1"/>
  <c r="D35" i="1"/>
  <c r="D22" i="1"/>
  <c r="J26" i="1"/>
  <c r="D30" i="1"/>
  <c r="J28" i="1"/>
  <c r="K28" i="1" s="1"/>
  <c r="L28" i="1" s="1"/>
  <c r="M28" i="1" s="1"/>
  <c r="J39" i="1"/>
  <c r="K39" i="1" s="1"/>
  <c r="L39" i="1" s="1"/>
  <c r="M39" i="1" s="1"/>
  <c r="E8" i="1"/>
  <c r="E29" i="1"/>
  <c r="G8" i="1"/>
  <c r="E38" i="1"/>
  <c r="E31" i="1"/>
  <c r="D29" i="1"/>
  <c r="E36" i="1"/>
  <c r="E30" i="1"/>
  <c r="E27" i="1"/>
  <c r="E39" i="1"/>
  <c r="E37" i="1"/>
  <c r="E35" i="1"/>
  <c r="E34" i="1"/>
  <c r="E33" i="1"/>
  <c r="E32" i="1"/>
  <c r="K32" i="1" s="1"/>
  <c r="L32" i="1" s="1"/>
  <c r="M32" i="1" s="1"/>
  <c r="E26" i="1"/>
  <c r="E28" i="1"/>
  <c r="D27" i="1"/>
  <c r="K27" i="1" s="1"/>
  <c r="L27" i="1" s="1"/>
  <c r="M27" i="1" s="1"/>
  <c r="K18" i="1"/>
  <c r="E18" i="1" s="1"/>
  <c r="K16" i="1"/>
  <c r="E16" i="1" s="1"/>
  <c r="K20" i="1"/>
  <c r="E20" i="1" s="1"/>
  <c r="E15" i="1"/>
  <c r="E17" i="1"/>
  <c r="D19" i="1"/>
  <c r="K13" i="1"/>
  <c r="L13" i="1" s="1"/>
  <c r="M13" i="1" s="1"/>
  <c r="D17" i="1"/>
  <c r="D15" i="1"/>
  <c r="E14" i="1"/>
  <c r="F14" i="1" s="1"/>
  <c r="G26" i="1"/>
  <c r="J9" i="1"/>
  <c r="J8" i="1"/>
  <c r="E9" i="1"/>
  <c r="K35" i="1"/>
  <c r="L35" i="1" s="1"/>
  <c r="M35" i="1" s="1"/>
  <c r="K34" i="1"/>
  <c r="L34" i="1" s="1"/>
  <c r="M34" i="1" s="1"/>
  <c r="K29" i="1"/>
  <c r="L29" i="1" s="1"/>
  <c r="M29" i="1" s="1"/>
  <c r="K31" i="1"/>
  <c r="L31" i="1" s="1"/>
  <c r="M31" i="1" s="1"/>
  <c r="K30" i="1"/>
  <c r="L30" i="1" s="1"/>
  <c r="M30" i="1" s="1"/>
  <c r="N39" i="1" l="1"/>
  <c r="N32" i="1"/>
  <c r="N34" i="1"/>
  <c r="N36" i="1"/>
  <c r="N38" i="1"/>
  <c r="N27" i="1"/>
  <c r="N30" i="1"/>
  <c r="N31" i="1"/>
  <c r="N35" i="1"/>
  <c r="N28" i="1"/>
  <c r="N29" i="1"/>
  <c r="N37" i="1"/>
  <c r="K26" i="1"/>
  <c r="L26" i="1" s="1"/>
  <c r="N26" i="1" s="1"/>
  <c r="G14" i="1"/>
  <c r="H13" i="1" s="1"/>
  <c r="N13" i="1"/>
  <c r="K33" i="1"/>
  <c r="L33" i="1" s="1"/>
  <c r="M33" i="1" s="1"/>
  <c r="N33" i="1" l="1"/>
  <c r="M26" i="1"/>
  <c r="O13" i="1"/>
  <c r="K9" i="1"/>
  <c r="K8" i="1"/>
  <c r="L8" i="1" l="1"/>
  <c r="L9" i="1"/>
  <c r="F8" i="1"/>
  <c r="F9" i="1"/>
  <c r="M8" i="1" l="1"/>
  <c r="N8" i="1"/>
  <c r="M9" i="1"/>
  <c r="N9" i="1"/>
  <c r="F35" i="1"/>
  <c r="F32" i="1"/>
  <c r="F34" i="1"/>
  <c r="F37" i="1"/>
  <c r="F33" i="1"/>
  <c r="F30" i="1"/>
  <c r="F28" i="1"/>
  <c r="F38" i="1"/>
  <c r="F39" i="1"/>
  <c r="F29" i="1"/>
  <c r="F36" i="1"/>
  <c r="F31" i="1"/>
  <c r="F27" i="1"/>
  <c r="F26" i="1"/>
</calcChain>
</file>

<file path=xl/sharedStrings.xml><?xml version="1.0" encoding="utf-8"?>
<sst xmlns="http://schemas.openxmlformats.org/spreadsheetml/2006/main" count="298" uniqueCount="250">
  <si>
    <t>Game Date:</t>
  </si>
  <si>
    <t>Inputs</t>
  </si>
  <si>
    <t>Outputs</t>
  </si>
  <si>
    <t>Fraction of Bankroll</t>
  </si>
  <si>
    <t>Game/Race:</t>
  </si>
  <si>
    <t>Total Bankroll To Bet ($):</t>
  </si>
  <si>
    <t>American Moneyline Odds</t>
  </si>
  <si>
    <t>Fractional Odds    (Horse Racing)</t>
  </si>
  <si>
    <t>Win to Wager Ratio</t>
  </si>
  <si>
    <t>The Sabermetric Triple Crown formula is composed of three statistics: Batting Average on Balls in Play (BABIP), Wins Above Replacement (WAR), and Fielding Independent Pitching (FIP). Here's how you could calculate each of these statistics in Excel:</t>
  </si>
  <si>
    <t>1. BABIP:</t>
  </si>
  <si>
    <t>Copy code</t>
  </si>
  <si>
    <t>BABIP = (Hits - Home Runs) / (At-bats - Strikeouts - Home Runs + Sacrifice Flies)</t>
  </si>
  <si>
    <t>2. WAR:</t>
  </si>
  <si>
    <t>WAR = (Batting Runs + Base Running Runs + Fielding Runs + Positional Adjustment + League Adjustment) / (Runs Per Win)</t>
  </si>
  <si>
    <t>Where: Batting Runs, Base Running Runs, and Fielding Runs are calculated using a variety of advanced statistics and can be found on baseball-reference.com or other sabermetrics websites. Positional Adjustment and League Adjustment are also calculated using advanced statistics and can be found on baseball-reference.com or other sabermetrics websites. Runs Per Win is a constant that can be found on baseball-reference.com or other sabermetrics websites, and is typically around 10.</t>
  </si>
  <si>
    <t>3. FIP:</t>
  </si>
  <si>
    <t>Where: HR = Number of home runs allowed BB = Number of walks allowed HBP = Number of hit by pitches allowed K = Number of strikeouts IP = Innings Pitched Constant is a number that is used to scale FIP to match ERA, and it's typically around 3.2</t>
  </si>
  <si>
    <t>It's important to note that these statistics are calculated using a variety of advanced statistics and might require some data that might not be available for all players and seasons. Additionally, it's important to consult with a sabermetrics expert or consult websites like baseball-reference.com to get the most accurate and up-to-date data.</t>
  </si>
  <si>
    <t>FIP = ( (13*HR) + (3*(BB+HBP)) - (2*K) ) / IP + constant</t>
  </si>
  <si>
    <t>The best source for statistical information for the NBA is the official website of the league, NBA.com. The site provides a wide variety of statistics for every player and team, including traditional statistics such as points per game and rebounds per game, as well as advanced statistics such as player efficiency rating and true shooting percentage. Additionally, the site offers historical statistics dating back to the league's inception, as well as a variety of other data and information related to the league. Other websites like basketball-reference.com, espn.com, and nbastats.com also provide useful statistics and information about the NBA.</t>
  </si>
  <si>
    <t>The best source for statistical information for the NFL is the official website of the league, NFL.com. The site provides a wide variety of statistics for every player and team, including traditional statistics such as passing yards and rushing yards, as well as advanced statistics such as passer rating and total quarterback rating. Additionally, the site offers historical statistics dating back to the league's inception, as well as a variety of other data and information related to the league.</t>
  </si>
  <si>
    <t>Other reputable sources for NFL statistics include:</t>
  </si>
  <si>
    <t>1. Pro-Football-Reference.com - This website is considered one of the most comprehensive sources of NFL statistics on the internet. It contains a wealth of historical and current data on players, teams, and games.</t>
  </si>
  <si>
    <t>2. ESPN.com - This website provides a wide range of statistics for every player and team in the league. It also offers historical data, game logs and other important information about the NFL.</t>
  </si>
  <si>
    <t>3. NFLsavant.com - This website provides advanced statistics and analysis of NFL data, it also offers play-by-play data and other information that can be useful for NFL analysis.</t>
  </si>
  <si>
    <t>4. Footballoutsiders.com - This website is known for its advanced analytics and statistical analysis of the NFL, it offers a lot of useful information and metrics to evaluate players and teams.</t>
  </si>
  <si>
    <t>5. Nextgenstats.nfl.com - This website is the official source of NFL Next Gen Stats, which uses player tracking technology to provide advanced metrics and data on NFL players and teams.</t>
  </si>
  <si>
    <t>These are some of the most reputable sources for NFL statistics, but there are many other websites, books, and resources available for those who are interested in NFL statistics.</t>
  </si>
  <si>
    <t>There are several reputable sources for statistical information for baseball. Some of the most well-known and widely used include:</t>
  </si>
  <si>
    <t>1. Baseball-Reference.com - This website is considered one of the most comprehensive sources of baseball statistics on the internet. It contains a wealth of historical and current data on players, teams, and games.</t>
  </si>
  <si>
    <t>2. Fangraphs.com - This website is another popular source of baseball statistics. It is known for its advanced analytics and sabermetric data, making it a go-to resource for fans and analysts alike.</t>
  </si>
  <si>
    <t>3. MLB.com - The official website of Major League Baseball, MLB.com, provides a wide range of statistics for every player and team in the league. It also offers historical data, game logs and other important information about MLB.</t>
  </si>
  <si>
    <t>4. Retrosheet.org - This website is a non-profit organization dedicated to the collection, preservation and distribution of historical baseball data. They offer an extensive collection of play-by-play data and box scores dating back to the late 19th century.</t>
  </si>
  <si>
    <t>5. Brooksbaseball.net - This website is a resource for baseball data analysis and visualization, it also offers PITCHf/x data and other information related to baseball analysis.</t>
  </si>
  <si>
    <t>These are some of the most reputable sources for baseball statistics, but there are many other websites, books and resources available for those who are interested in baseball statistics.</t>
  </si>
  <si>
    <t>Vig Adjusted Given Win Percentage</t>
  </si>
  <si>
    <t>Vig Adjusted Given Loss Percentage</t>
  </si>
  <si>
    <t>Total Vigorish</t>
  </si>
  <si>
    <t>Moneyline</t>
  </si>
  <si>
    <t>Horses</t>
  </si>
  <si>
    <t>Horse 1</t>
  </si>
  <si>
    <t>Horse 2</t>
  </si>
  <si>
    <t>Horse 3</t>
  </si>
  <si>
    <t>Horse 4</t>
  </si>
  <si>
    <t>Horse 5</t>
  </si>
  <si>
    <t>Horse 6</t>
  </si>
  <si>
    <t>Horse 7</t>
  </si>
  <si>
    <t>Horse 8</t>
  </si>
  <si>
    <t>Horse 9</t>
  </si>
  <si>
    <t>Horse 10</t>
  </si>
  <si>
    <t>Horse 11</t>
  </si>
  <si>
    <t>Horse 12</t>
  </si>
  <si>
    <t>Horse 13</t>
  </si>
  <si>
    <t>Horse 14</t>
  </si>
  <si>
    <t>Team 1</t>
  </si>
  <si>
    <t>Team 2</t>
  </si>
  <si>
    <t>Parlays</t>
  </si>
  <si>
    <t>Given Loss %</t>
  </si>
  <si>
    <t>Given Win %</t>
  </si>
  <si>
    <t>Expected Value (Vig Adjusted)</t>
  </si>
  <si>
    <t>Expected Value (Unadjusted)</t>
  </si>
  <si>
    <t>Parlay</t>
  </si>
  <si>
    <t>Leg 1</t>
  </si>
  <si>
    <t>Leg 2</t>
  </si>
  <si>
    <t>Leg 3</t>
  </si>
  <si>
    <t>Leg 4</t>
  </si>
  <si>
    <t>Leg 5</t>
  </si>
  <si>
    <t>Leg 6</t>
  </si>
  <si>
    <t>Leg 7</t>
  </si>
  <si>
    <t>Leg 8</t>
  </si>
  <si>
    <t>Leg 9</t>
  </si>
  <si>
    <t>Individual Leg Payout Multiplier</t>
  </si>
  <si>
    <t>Aggregate Leg Payout Multiplier</t>
  </si>
  <si>
    <t>Total to Bet (Full Kelly)</t>
  </si>
  <si>
    <t>There are several sources of data for horse races, including:</t>
  </si>
  <si>
    <t>Racing databases, such as the Jockey Club's Equineline, which provide information on horse pedigrees, race results, and other statistics</t>
  </si>
  <si>
    <t>Racing news websites and publications, such as Daily Racing Form and Blood-Horse, which provide coverage of major races and updates on horse performances</t>
  </si>
  <si>
    <t>Official race websites, such as those for the Triple Crown and Breeders' Cup events, which provide race entries, results, and other information</t>
  </si>
  <si>
    <t>Handicapping and betting websites, such as TVG and Twinspires, which offer data on past performance, odds, and other information that can be useful for predicting race outcomes.</t>
  </si>
  <si>
    <t>Where: Hits = Number of hits, Home Runs = Number of home runs At-bats = Number of at-bats Strikeouts = Number of strikeouts Sacrifice Flies = Number of sacrifice flies</t>
  </si>
  <si>
    <t>Sports Betting Workbook</t>
  </si>
  <si>
    <t>Aggregate Leg Moneyline Odds</t>
  </si>
  <si>
    <t xml:space="preserve">  </t>
  </si>
  <si>
    <t>Parlay/Legs</t>
  </si>
  <si>
    <t>Horse Races</t>
  </si>
  <si>
    <t>Sabermetrics Triple Crown: BABIP, WAR, FIP</t>
  </si>
  <si>
    <t>Teams</t>
  </si>
  <si>
    <t>Use KDE (Kernel Density Estimate) to estimate race times?</t>
  </si>
  <si>
    <t>What is the difference between Poisson cumulative distribution function and Mass probability function</t>
  </si>
  <si>
    <t>The Poisson cumulative distribution function (CDF) and the Poisson mass probability function (PMF) are two different ways of describing the same probability distribution in statistics.</t>
  </si>
  <si>
    <t>The Poisson CDF gives the cumulative probability that the number of events will be less than or equal to a certain value x. It represents the probability that the number of events in a fixed interval is less than or equal to a specified value.</t>
  </si>
  <si>
    <t>The Poisson PMF, on the other hand, gives the probability that exactly x events will occur in a fixed interval. It represents the probability of observing exactly x events in a specified time or area.</t>
  </si>
  <si>
    <t>In summary, the Poisson CDF gives a cumulative probability, while the Poisson PMF gives the probability of a specific event.</t>
  </si>
  <si>
    <t>Charles Russella (Bass0129)</t>
  </si>
  <si>
    <t>what is a pmf in statistics</t>
  </si>
  <si>
    <t>A probability mass function (PMF) is a function that describes the probability of discrete random variables. It gives the probability of each possible outcome of a discrete random variable.</t>
  </si>
  <si>
    <t>In other words, a PMF is a function that assigns a probability to each value that a discrete random variable can take. The sum of all probabilities must be equal to 1. The PMF can be used to find the probability of a specific outcome or to describe the distribution of the random variable.</t>
  </si>
  <si>
    <t>For example, if you have a random variable X that can take on the values 0, 1, 2, 3, 4, and 5, the PMF would give the probability of each of these outcomes.</t>
  </si>
  <si>
    <t>Do all distributions have a CDF and PMF, or just Poisson</t>
  </si>
  <si>
    <t>Not all distributions have both a cumulative distribution function (CDF) and a probability mass function (PMF).</t>
  </si>
  <si>
    <t>CDFs are defined for all distributions, discrete and continuous. The CDF gives the cumulative probability of a random variable being less than or equal to a certain value.</t>
  </si>
  <si>
    <t>However, only discrete distributions have PMFs. PMFs give the probability of a specific outcome for a discrete random variable. They assign a probability to each value that the random variable can take.</t>
  </si>
  <si>
    <t>Continuous distributions have probability density functions (PDFs) instead of PMFs. PDFs give the probability density or likelihood of a continuous random variable taking on a specific value. They cannot be used to give the probability of a specific outcome, but they can be used to calculate probabilities over intervals.</t>
  </si>
  <si>
    <t>is the normal distribution continuous or discrete</t>
  </si>
  <si>
    <t>The normal distribution is a continuous probability distribution.</t>
  </si>
  <si>
    <t>A continuous distribution has an infinite number of possible values within any interval, no matter how small the interval is. The normal distribution is defined by its mean and standard deviation and can take on any value over the entire real line, making it a continuous distribution.</t>
  </si>
  <si>
    <t>In contrast, a discrete distribution has only a finite or countably infinite number of possible values, and the values are separate and distinct. For example, the Poisson distribution and the binomial distribution are discrete distributions.</t>
  </si>
  <si>
    <t>what is the kernel density test</t>
  </si>
  <si>
    <t>The kernel density estimation (KDE) is a non-parametric method used to estimate the probability density function (PDF) of a random variable. It is a way to estimate the underlying continuous distribution of a set of observations without making any assumptions about the form of the distribution.</t>
  </si>
  <si>
    <t>KDE works by placing a smooth, curved "kernel" at each data point, and then summing the kernels to produce an estimate of the PDF. The choice of kernel affects the shape and smoothness of the estimated PDF, and common choices include the Gaussian kernel and the Epanechnikov kernel. The kernel width, or bandwidth, controls the smoothness of the estimate, and must be chosen carefully to strike a balance between under- and over-smoothing the data.</t>
  </si>
  <si>
    <t>Kernel density estimation is a useful tool for exploratory data analysis, especially when the form of the underlying distribution is unknown or difficult to model parametrically. It can also be used to estimate the distribution of a variable in univariate or multivariate data.</t>
  </si>
  <si>
    <t>How do I perform a kernel density estimation in excel</t>
  </si>
  <si>
    <t>Kernel density estimation is not a built-in function in Microsoft Excel, but it can be performed using add-ins or by creating custom functions. Here are some steps to perform kernel density estimation in Excel:</t>
  </si>
  <si>
    <t>1. Download and install a data analysis tool, such as the Data Analysis ToolPak for Excel. This tool provides a kernel density estimation function that can be used to perform the estimation.</t>
  </si>
  <si>
    <t>2. Once the tool is installed, you can access the kernel density estimation function from the "Data Analysis" tab in the "Data" ribbon.</t>
  </si>
  <si>
    <t>3. Input the data for which you want to perform the estimation into a column in Excel.</t>
  </si>
  <si>
    <t>4. Select "Kernel Density" from the "Data Analysis" tab and click "OK."</t>
  </si>
  <si>
    <t>5. In the "Kernel Density" dialog box, select the range of data you want to use, and choose a bin size if necessary.</t>
  </si>
  <si>
    <t>6. Choose a location for the output of the estimation and click "OK."</t>
  </si>
  <si>
    <t>7. The kernel density estimation will be displayed as a histogram-like plot, with the height of each bar representing the estimated probability density at that point.</t>
  </si>
  <si>
    <t>Note: The accuracy of the kernel density estimate depends on the choice of kernel, bandwidth, and bin size, so it is important to choose these parameters carefully to get a reliable estimate of the PDF.</t>
  </si>
  <si>
    <t>In analyzing data about past performances of sports, would a Poisson distribution test, or a KDE provide a more accurate estimation of future performance</t>
  </si>
  <si>
    <t>The choice between using a Poisson distribution test or a kernel density estimation (KDE) in analyzing data about past sports performance depends on the nature of the data.</t>
  </si>
  <si>
    <t>If the data represent counts of events, such as the number of goals scored in a soccer match, the Poisson distribution might be a suitable model. The Poisson distribution models the number of events that occur in a fixed interval of time or space, and it is commonly used to model count data. If the mean count per unit time or space is constant, the Poisson distribution can provide an accurate estimate of future performance.</t>
  </si>
  <si>
    <t>If the data represent continuous measurements, such as the running times for a 100m sprint, the KDE might be a better choice. The KDE is a non-parametric method that estimates the underlying continuous distribution of a set of observations without making any assumptions about the form of the distribution. This allows for a more flexible modeling of the data and a better representation of the shape and structure of the distribution.</t>
  </si>
  <si>
    <t>In either case, it is important to carefully examine the data and make sure that the chosen model is appropriate for the data before making predictions about future performance.</t>
  </si>
  <si>
    <t>How would one use a KDE to analyze prices of assets, such as stocks or bonds</t>
  </si>
  <si>
    <t>Kernel density estimation (KDE) can be used to analyze the distribution of prices of assets, such as stocks or bonds. Here's how:</t>
  </si>
  <si>
    <t>1. Collect the historical prices of the asset you are interested in.</t>
  </si>
  <si>
    <t>2. Organize the data into a column or a table in a software program, such as Excel or R.</t>
  </si>
  <si>
    <t>3. Run the kernel density estimation algorithm on the data. The algorithm will estimate the underlying continuous distribution of the prices by placing a smooth curve, called a "kernel," at each data point. The kernels are then summed to produce an estimate of the probability density function (PDF) of the prices.</t>
  </si>
  <si>
    <t>4. Visualize the estimate by plotting the PDF as a histogram-like plot, with the height of each bar representing the estimated density at that point.</t>
  </si>
  <si>
    <t>5. Analyze the shape and structure of the estimated distribution to gain insights into the prices of the asset. For example, you can determine if the prices are symmetrical or skewed, if there are any outliers, or if the prices are multimodal.</t>
  </si>
  <si>
    <t>6. Use the estimated distribution to make predictions about future prices of the asset. For example, you can calculate the probabilities of the prices falling within certain ranges or estimate the expected value of the prices.</t>
  </si>
  <si>
    <t>Note: The choice of kernel and bandwidth is important for the accuracy of the estimate, so it is important to choose these parameters carefully to obtain a reliable estimate of the PDF.</t>
  </si>
  <si>
    <t>what methods does renaissance technologies use to build models for stock trading</t>
  </si>
  <si>
    <t>Renaissance Technologies is a quant trading firm that uses mathematical models and algorithms to trade financial markets. The exact methods used by Renaissance Technologies to build models for stock trading are not publicly known, but it is widely believed that they use a combination of techniques, including:</t>
  </si>
  <si>
    <t>1. Statistical Arbitrage: Statistical arbitrage involves using statistical methods to identify mispricings in financial markets and taking advantage of those mispricings to make trades. Renaissance Technologies is believed to use statistical arbitrage as one of its core trading strategies.</t>
  </si>
  <si>
    <t>2. Machine Learning: Renaissance Technologies is also believed to use machine learning algorithms, such as artificial neural networks and decision trees, to analyze and predict stock market trends.</t>
  </si>
  <si>
    <t>3. High-Frequency Trading: High-frequency trading (HFT) is a type of algorithmic trading that uses high-speed computers and algorithms to make trades based on market data. Renaissance Technologies is believed to use HFT in some of its trading strategies.</t>
  </si>
  <si>
    <t>4. Algorithmic Trading: Algorithmic trading refers to the use of mathematical models and algorithms to make trades automatically in financial markets. Renaissance Technologies is believed to use algorithmic trading as one of its core trading strategies.</t>
  </si>
  <si>
    <t>Note: These are just some of the methods that Renaissance Technologies is believed to use, and the exact methods used are not publicly disclosed. The firm is known for its secrecy and the use of complex mathematical models, so it is difficult to determine the exact methods used.</t>
  </si>
  <si>
    <t>what are some methods to find statistical arbitrage opportunities</t>
  </si>
  <si>
    <t>Statistical arbitrage is a strategy that involves using statistical methods to identify mispricings in financial markets and taking advantage of those mispricings to make trades. Here are some methods that can be used to find statistical arbitrage opportunities:</t>
  </si>
  <si>
    <t>1. Pairs Trading: Pairs trading involves identifying two assets that are highly correlated and trading them as a pair to take advantage of any mispricings. This method involves finding two stocks that have a strong statistical relationship, such as co-movement, and betting on the spread between them to return to its mean.</t>
  </si>
  <si>
    <t>2. Mean Reversion: Mean reversion is a statistical property that states that the expected future value of a stock's price is equal to its mean historical value. Mean reversion can be used to find statistical arbitrage opportunities by identifying stocks whose prices deviate from their mean and betting that they will return to their mean over time.</t>
  </si>
  <si>
    <t>3. Factor Models: Factor models are statistical models that use factors, such as interest rates or market sentiment, to explain the behavior of a set of assets. Factor models can be used to identify mispricings by examining the relationship between the assets and the factors, and making trades based on the deviations from the expected relationship.</t>
  </si>
  <si>
    <t>4. Statistical Arbitrage Indicators: Statistical arbitrage indicators, such as the Z-score or co-integration, can be used to identify mispricings in financial markets. These indicators measure the deviation of an asset's price from its mean, and can be used to determine when to enter and exit trades.</t>
  </si>
  <si>
    <t>Note: These are just some of the methods that can be used to find statistical arbitrage opportunities, and the exact methods used will depend on the data and the desired trading strategy. It is important to thoroughly understand the data, the statistical models, and the methods used before using statistical arbitrage in a trading strategy.</t>
  </si>
  <si>
    <t>when do I know if I'm testing against the null hypothesis in statistics</t>
  </si>
  <si>
    <t>In statistical hypothesis testing, the null hypothesis represents a default assumption or a baseline scenario that is being tested against. You know that you are testing against the null hypothesis when:</t>
  </si>
  <si>
    <t>1. You have a specific statement or hypothesis about the population that you want to test. This statement is usually the null hypothesis.</t>
  </si>
  <si>
    <t>2. You collect data from a sample of the population and use it to compute a test statistic.</t>
  </si>
  <si>
    <t>3. You compare the computed test statistic to a critical value from a pre-determined distribution (such as the normal distribution or the t-distribution) to determine whether the observed data is likely under the null hypothesis.</t>
  </si>
  <si>
    <t>4. If the computed test statistic falls within the critical region, you reject the null hypothesis. If the computed test statistic falls outside of the critical region, you fail to reject the null hypothesis.</t>
  </si>
  <si>
    <t>Note: The choice of the null hypothesis and the alternative hypothesis, the type of test to be performed, and the critical region are all determined before the test is conducted. These decisions will depend on the research question being addressed and the data being analyzed.</t>
  </si>
  <si>
    <t>Is statistical hypothesis testing the most basic idea in statistics</t>
  </si>
  <si>
    <t>Statistical hypothesis testing is a fundamental and widely used concept in statistics, but it is not necessarily the most basic idea in statistics. Statistical hypothesis testing is a tool used to make inferences about a population based on a sample of data. It involves formulating a null hypothesis and an alternative hypothesis, collecting data, and using statistical methods to determine whether the data provides evidence to support or reject the null hypothesis.</t>
  </si>
  <si>
    <t>However, there are other basic ideas in statistics, such as:</t>
  </si>
  <si>
    <t>1. Descriptive statistics: Descriptive statistics is the branch of statistics that deals with summarizing and describing the characteristics of a set of data. This includes measures of central tendency, such as the mean and median, and measures of dispersion, such as the standard deviation and range.</t>
  </si>
  <si>
    <t>2. Probability: Probability is the branch of mathematics that deals with the study of random events and their outcomes. It provides the foundation for many statistical methods, including hypothesis testing.</t>
  </si>
  <si>
    <t>3. Sampling: Sampling is the process of selecting a subset of observations from a population to represent the entire population. Sampling is a key component of statistical hypothesis testing, as it provides the data that is used to make inferences about the population.</t>
  </si>
  <si>
    <t>In conclusion, statistical hypothesis testing is a fundamental and important idea in statistics, but it is not the most basic idea. Other basic ideas, such as descriptive statistics, probability, and sampling, are also important building blocks for understanding and using statistical methods.</t>
  </si>
  <si>
    <t>Can Poisson Distributions be used in Statistical Hypothesis Testing or is Statistical Hypothesis testing reserved for populations with normal distribution</t>
  </si>
  <si>
    <t>Poisson distributions can be used in statistical hypothesis testing, and they do not need to be reserved for populations with normal distributions. In fact, the Poisson distribution is often used to model count data, such as the number of events in a given time interval or the number of occurrences of a certain event in a population.</t>
  </si>
  <si>
    <t>Statistical hypothesis testing can be used with any type of distribution, not just normal distributions. The choice of which distribution to use for hypothesis testing depends on the characteristics of the data and the research question being addressed.</t>
  </si>
  <si>
    <t>For example, if the data is count data, such as the number of customers visiting a store in a given time interval, a Poisson distribution might be more appropriate than a normal distribution. On the other hand, if the data is continuous and approximately normally distributed, a normal distribution might be more appropriate for hypothesis testing.</t>
  </si>
  <si>
    <t>In summary, statistical hypothesis testing can be used with a variety of distributions, including Poisson distributions, and the choice of distribution will depend on the characteristics of the data and the research question being addressed.</t>
  </si>
  <si>
    <t>Are there distribution types that cannot be used in Statistical Hypothesis Testing?</t>
  </si>
  <si>
    <t>In general, there is no restriction on the type of distribution that can be used in statistical hypothesis testing. Any continuous or discrete distribution can be used as long as it is appropriate for the data being analyzed and the research question being addressed.</t>
  </si>
  <si>
    <t>However, there are some distributions that are more commonly used in hypothesis testing than others, such as the normal distribution, the t-distribution, and the chi-squared distribution. These distributions are often used because they have well-known properties, including the shape of their probability density functions and the distributions of their test statistics under the null hypothesis.</t>
  </si>
  <si>
    <t>In conclusion, while there is no restriction on the type of distribution that can be used in hypothesis testing, some distributions are more commonly used than others because they have well-known properties and are easier to work with. Ultimately, the choice of distribution will depend on the characteristics of the data and the research question being addressed.</t>
  </si>
  <si>
    <t>Is it ethical for Professors to manipulate test scores to a T shaped curve, if the true results didn't reflect that distribution</t>
  </si>
  <si>
    <t>No, it is not ethical for professors to manipulate test scores to create a T-shaped distribution if the true results did not reflect that distribution. In academic settings, it is important to maintain the integrity of the evaluation process and ensure that grades are an accurate reflection of student performance. Manipulating test scores to create a T-shaped distribution would compromise the validity of the evaluation process and could lead to unfair and biased assessments of student performance.</t>
  </si>
  <si>
    <t>Furthermore, such manipulation could undermine the credibility of the professor and the academic institution, and could call into question the validity of the grades and evaluations given to students. This could have serious consequences for the students, including impacting their future academic and career opportunities.</t>
  </si>
  <si>
    <t>In conclusion, it is not ethical for professors to manipulate test scores to create a T-shaped distribution if the true results did not reflect that distribution. Maintaining the integrity of the evaluation process and ensuring that grades are an accurate reflection of student performance is crucial for the credibility and fairness of academic institutions.</t>
  </si>
  <si>
    <t>Why do professors manipulate test results into T-shaped curves?</t>
  </si>
  <si>
    <t>Professors may manipulate test results into T-shaped curves for various reasons, including:</t>
  </si>
  <si>
    <t>1. Grading policies: Some academic institutions may have strict grading policies that require a certain distribution of grades, such as a T-shaped curve. Professors may manipulate test scores to meet these requirements.</t>
  </si>
  <si>
    <t>2. Perceptions of fairness: Professors may believe that a T-shaped curve is a fair representation of student performance, and that it ensures that grades are not too harsh or too lenient.</t>
  </si>
  <si>
    <t>3. Avoiding outliers: Professors may manipulate test scores to reduce the impact of outliers and ensure that the distribution of grades is more balanced.</t>
  </si>
  <si>
    <t>4. Improving student satisfaction: Professors may manipulate test scores to improve student satisfaction and reduce student complaints about grades.</t>
  </si>
  <si>
    <t>It is important to note that while some of these reasons may seem plausible, manipulating test scores to create a T-shaped curve is not an ethical or valid approach to evaluating student performance. Grades should be an accurate reflection of student performance, and manipulation of test scores can undermine the credibility and fairness of the evaluation process.</t>
  </si>
  <si>
    <t>What is considered the most complicated concept in statistics</t>
  </si>
  <si>
    <t>The answer to this question can vary depending on the individual and their level of expertise in statistics, but some of the concepts that are often considered the most complicated in statistics include:</t>
  </si>
  <si>
    <t>1. Bayesian Statistics: Bayesian Statistics is a branch of statistics that deals with uncertainty and prior knowledge, and it often requires a different mindset than classical (frequentist) statistics.</t>
  </si>
  <si>
    <t>2. Multivariate Analysis: Multivariate Analysis involves the study of more than one dependent variable and is used to understand the relationship between multiple variables. It can be challenging to interpret and visualize the results in higher dimensions.</t>
  </si>
  <si>
    <t>3. Non-parametric Statistics: Non-parametric Statistics is a branch of statistics that does not rely on the assumption of a specific distribution for the data, making it useful for data that is not normally distributed. However, it can be more computationally intensive and requires a different set of techniques.</t>
  </si>
  <si>
    <t>4. Time Series Analysis: Time Series Analysis involves the study of data over time, and it requires specialized techniques to account for trends, seasonality, and other patterns in the data.</t>
  </si>
  <si>
    <t>5. Machine Learning: Machine Learning is a field of statistics and computer science that involves building models that can learn patterns in data and make predictions. It can be challenging to choose the appropriate model and evaluate its performance.</t>
  </si>
  <si>
    <t>These are some of the concepts that are often considered the most complicated in statistics, but there are many other areas of statistics that can also be challenging, depending on the individual and their background.</t>
  </si>
  <si>
    <t>Describe Beysian Statistical Analysis</t>
  </si>
  <si>
    <t>Bayesian Statistical Analysis is a branch of statistics that deals with uncertainty and prior knowledge. It is based on Bayes' theorem, which states that the probability of an event (e.g. a hypothesis) given some data (e.g. an observation) is proportional to the probability of the data given the event.</t>
  </si>
  <si>
    <t>In Bayesian Statistics, instead of finding point estimates for parameters based on data (as in frequentist statistics), Bayesian Statistics finds the posterior distribution of parameters given the data. The posterior distribution is a probability distribution that summarizes our knowledge about the parameters after taking into account the data and prior knowledge.</t>
  </si>
  <si>
    <t>In Bayesian Statistics, prior knowledge is expressed as a prior distribution for the parameters. This prior distribution can be subjective, based on expert knowledge, or it can be based on prior data or information. The prior distribution and the data are combined to form the posterior distribution through Bayes' theorem.</t>
  </si>
  <si>
    <t>Bayesian Statistical Analysis has many applications in various fields, such as finance, biology, psychology, and engineering. Some of the advantages of Bayesian Statistics include the ability to incorporate prior knowledge, the ability to quantify uncertainty in parameters, and the ability to compare models using Bayesian model selection. However, it can also be computationally intensive and require specialized techniques for estimation and inference.</t>
  </si>
  <si>
    <t>Overall, Bayesian Statistical Analysis provides a flexible and powerful framework for dealing with uncertainty and prior knowledge in statistical modeling and analysis.</t>
  </si>
  <si>
    <t>How do I perform Beysian analysis on a data set</t>
  </si>
  <si>
    <t>To perform Bayesian analysis on a data set, you typically need to follow these steps:</t>
  </si>
  <si>
    <t>1. Define the model: Define the statistical model that you want to fit to the data, including the likelihood function and the prior distribution for the parameters. The likelihood function describes the relationship between the data and the parameters, and the prior distribution expresses your prior knowledge about the parameters.</t>
  </si>
  <si>
    <t>2. Specify the prior distribution: Specify the prior distribution for the parameters based on prior knowledge, expert opinion, or prior data. The choice of prior distribution will affect the posterior distribution and the results of the analysis.</t>
  </si>
  <si>
    <t>3. Compute the posterior distribution: Use Bayes' theorem to compute the posterior distribution of the parameters given the data and the prior distribution. This can be done analytically in some cases, but in many cases, it requires numerical methods, such as Markov Chain Monte Carlo (MCMC) sampling.</t>
  </si>
  <si>
    <t>4. Summarize the results: Summarize the results of the analysis by summarizing the posterior distribution, such as by computing the mean, median, and credible intervals.</t>
  </si>
  <si>
    <t>5. Make inferences and decisions: Make inferences and decisions based on the results of the analysis. For example, you may make predictions about future data based on the posterior distribution of the parameters, or you may compare models using Bayesian model selection.</t>
  </si>
  <si>
    <t>These are the basic steps for performing Bayesian analysis on a data set, but the specifics will depend on the particular problem and the data. Bayesian analysis can be computationally intensive, especially when dealing with high-dimensional data or complex models, so it is important to have a good understanding of Bayesian Statistics and to choose appropriate computational methods.</t>
  </si>
  <si>
    <t>What is the most common form of distribution used to measure race times</t>
  </si>
  <si>
    <t>The most common form of distribution used to measure race times is the normal distribution. The normal distribution is a continuous distribution that is widely used in many fields, including sports, to model continuous variables such as race times.</t>
  </si>
  <si>
    <t>The normal distribution is a symmetrical, bell-shaped distribution that is characterized by its mean and standard deviation. The mean represents the average race time, and the standard deviation represents the spread or variability in the race times.</t>
  </si>
  <si>
    <t>The use of the normal distribution to model race times assumes that the race times are approximately normally distributed, with a mean that represents the average race time and a standard deviation that represents the spread in the race times. This assumption is based on the central limit theorem, which states that the sum of many independent and identically distributed random variables will tend to be normally distributed.</t>
  </si>
  <si>
    <t>While other distributions, such as the log-normal distribution or the gamma distribution, can also be used to model race times, the normal distribution is the most common and widely used due to its simplicity and ease of use.</t>
  </si>
  <si>
    <t>Is the normal distribution or Kernel Density Estimate more appropriate to measure and estimate horse racing times</t>
  </si>
  <si>
    <t>The choice between using a normal distribution or a kernel density estimate (KDE) to measure and estimate horse racing times will depend on the specifics of the data and the goals of the analysis.</t>
  </si>
  <si>
    <t>The normal distribution is a simple and well-understood continuous distribution that is widely used to model continuous variables such as race times. It is characterized by its mean and standard deviation, which represent the average and variability in the race times, respectively. However, the assumption of normality may not always be appropriate for horse racing times, especially if the distribution of race times is significantly non-normal.</t>
  </si>
  <si>
    <t>Kernel density estimation, on the other hand, is a non-parametric method for estimating the probability density function of a random variable. Unlike the normal distribution, which requires the specification of two parameters (mean and standard deviation), KDE does not make any assumptions about the shape of the underlying distribution. Instead, it estimates the underlying density function directly from the data. This makes it a more flexible and robust method for modeling horse racing times, especially when the distribution of the data is not well understood or is significantly non-normal.</t>
  </si>
  <si>
    <t>In conclusion, whether the normal distribution or a KDE is more appropriate will depend on the specifics of the data and the goals of the analysis. If the assumption of normality is reasonable and the goal is to estimate the mean and standard deviation of the distribution, the normal distribution may be a good choice. However, if the distribution of the data is not well understood or is significantly non-normal, a KDE may be a more appropriate method for modeling the data.</t>
  </si>
  <si>
    <t>Is there a CDF in KDE or only a PDF</t>
  </si>
  <si>
    <t>Yes, a cumulative distribution function (CDF) can be derived from a kernel density estimate (KDE) probability density function (PDF).</t>
  </si>
  <si>
    <t>The cumulative distribution function (CDF) is a function that gives the probability that a random variable is less than or equal to a given value. It can be thought of as the integral of the probability density function (PDF) from negative infinity to the given value.</t>
  </si>
  <si>
    <t>In the case of a kernel density estimate (KDE), the PDF is estimated directly from the data using a non-parametric method. The CDF can then be obtained by numerical integration of the estimated PDF. This allows for the computation of cumulative probabilities and other related quantities, such as percentiles, quantiles, and confidence intervals.</t>
  </si>
  <si>
    <t>In conclusion, while a kernel density estimate (KDE) is primarily used to estimate the probability density function (PDF) of a random variable, a cumulative distribution function (CDF) can also be derived from the estimated PDF to perform additional analysis and calculations.</t>
  </si>
  <si>
    <t>how do I account for a downward trend when doing Poisson analysis</t>
  </si>
  <si>
    <t>When performing Poisson analysis, a downward trend can be accounted for in several ways:</t>
  </si>
  <si>
    <t>1. Trend adjustment: One simple way to account for a downward trend is to adjust the mean rate for the trend by subtracting a linear or non-linear term that captures the trend. This can be done by adding a trend variable, such as time, to the Poisson regression model. The estimated coefficients for the trend variable can then be used to adjust the mean rate accordingly.</t>
  </si>
  <si>
    <t>2. Model selection: Another way to account for a downward trend is to choose a more flexible model that can capture the trend explicitly. For example, a negative binomial model or a zero-inflated Poisson model can be used instead of a Poisson model to capture over-dispersion and excess zeros that may be due to a downward trend in the data.</t>
  </si>
  <si>
    <t>3. Transformation: A third option is to transform the data to remove the trend and make it more Poisson-like. For example, taking the logarithm of the count data can help to stabilize the variance and remove a downward trend.</t>
  </si>
  <si>
    <t>In conclusion, there are several ways to account for a downward trend when performing Poisson analysis. The choice of method will depend on the specifics of the data and the goals of the analysis.</t>
  </si>
  <si>
    <t>What is zero inflated poisson modeling</t>
  </si>
  <si>
    <t>Zero-inflated Poisson (ZIP) modeling is a statistical technique used to model count data that have an excess of zero counts. In count data, it is common to observe many zero values, even when the underlying process is thought to have a positive mean. This excess of zeros is referred to as "zero-inflation".</t>
  </si>
  <si>
    <t>The zero-inflated Poisson (ZIP) model is a combination of a Poisson model and a binary model, where the binary model determines if the count is zero or not, and the Poisson model determines the count if it is not zero. This allows for modeling both the excess zeros and the non-zero counts simultaneously.</t>
  </si>
  <si>
    <t>The ZIP model can be used in a variety of applications, such as insurance claims data, disease count data, and customer purchase data. It is a useful tool for modeling count data with over-dispersion and an excess of zero counts, and can provide improved parameter estimates and predictions compared to a simple Poisson model.</t>
  </si>
  <si>
    <t>In conclusion, the zero-inflated Poisson (ZIP) model is a statistical technique that is used to model count data with an excess of zero counts, and is a combination of a Poisson model and a binary model. It can provide improved estimates and predictions compared to a simple Poisson model, and is a useful tool for a variety of applications.</t>
  </si>
  <si>
    <t>how do i perform ZIP in excel and can it be done with the POISSON.DIST formula</t>
  </si>
  <si>
    <t>Excel does not have a built-in function for performing zero-inflated Poisson (ZIP) modeling, so it would need to be done using a combination of Excel's existing functions and custom calculations.</t>
  </si>
  <si>
    <t>One way to perform a zero-inflated Poisson (ZIP) model in Excel is to first fit a Poisson regression model to the count data, and then use the estimated parameters from that model to calculate the probabilities of observing a zero count and a non-zero count.</t>
  </si>
  <si>
    <t>Here's an example of how this can be done in Excel:</t>
  </si>
  <si>
    <t>1. Fit a Poisson regression model to the count data using the LOGEST function in Excel.</t>
  </si>
  <si>
    <t>2. Use the estimated parameters from the Poisson regression model to calculate the probability of observing a zero count. This can be done using the following formula: P(Y=0) = 1 - exp(-e^(intercept + predictor1 * X1 + predictor2 * X2 + ... + predictorK * XK))</t>
  </si>
  <si>
    <t>3. Use the estimated parameters from the Poisson regression model to calculate the probability of observing a non-zero count. This can be done using the following formula: P(Y&gt;0) = 1 - P(Y=0)</t>
  </si>
  <si>
    <t>4. Calculate the expected count using the following formula: E(Y) = P(Y&gt;0) * exp(intercept + predictor1 * X1 + predictor2 * X2 + ... + predictorK * XK)</t>
  </si>
  <si>
    <t>5. Compare the observed count to the expected count to determine the goodness-of-fit of the zero-inflated Poisson (ZIP) model.</t>
  </si>
  <si>
    <t>Note that these calculations are based on a simplified version of the zero-inflated Poisson (ZIP) model, and more complex models may require additional calculations and adjustments.</t>
  </si>
  <si>
    <t>In conclusion, Excel does not have a built-in function for performing zero-inflated Poisson (ZIP) modeling, but it can be done using a combination of Excel's existing functions and custom calculations. The POISSON.DIST formula is not applicable for this purpose, as it only calculates probabilities for the Poisson distribution, not for the zero-inflated Poisson (ZIP) distribution.</t>
  </si>
  <si>
    <t>when analyzing a player data, is it appropriate to use a ZIP model for a player who was sat out due to an injury or suspension</t>
  </si>
  <si>
    <t>Whether or not a zero-inflated Poisson (ZIP) model is appropriate for analyzing a player's data when they were sat out due to injury or suspension depends on the specifics of the data and the research question being addressed.</t>
  </si>
  <si>
    <t>In general, ZIP models are used when the data has a higher proportion of zeros than would be expected based on a standard Poisson distribution. If the player's absence due to injury or suspension results in a higher proportion of zeros in their performance data, then a ZIP model may be appropriate.</t>
  </si>
  <si>
    <t>However, it's also important to consider other factors that may impact the player's performance and whether these factors are being captured and accounted for in the model. For example, the player's performance may have been impacted by the injury or suspension itself, or by a change in the player's role or playing time when they returned from injury or suspension.</t>
  </si>
  <si>
    <t>In conclusion, whether or not a zero-inflated Poisson (ZIP) model is appropriate for analyzing a player's data when they were sat out due to injury or suspension depends on the specifics of the data and the research question being addressed, and other factors that may impact the player's performance should also be considered.</t>
  </si>
  <si>
    <t>"Eye Test" Loss Chance</t>
  </si>
  <si>
    <t>"Eye Test" Win Chance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</si>
</sst>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0.00\ \t\o\ \1"/>
    <numFmt numFmtId="165" formatCode="0.0000%"/>
    <numFmt numFmtId="166" formatCode="0.000000"/>
    <numFmt numFmtId="167" formatCode="0.0000\ \t\o\ \1"/>
    <numFmt numFmtId="168" formatCode="0.000000\ \t\o\ \1"/>
    <numFmt numFmtId="169" formatCode="0.0000000"/>
  </numFmts>
  <fonts count="14">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20"/>
      <color theme="1"/>
      <name val="Calibri"/>
      <family val="2"/>
      <scheme val="minor"/>
    </font>
    <font>
      <sz val="12"/>
      <name val="Segoe UI"/>
      <family val="2"/>
    </font>
    <font>
      <sz val="11"/>
      <name val="Calibri"/>
      <family val="2"/>
      <scheme val="minor"/>
    </font>
    <font>
      <sz val="9.6"/>
      <name val="Segoe UI"/>
      <family val="2"/>
    </font>
    <font>
      <sz val="10"/>
      <name val="Inherit"/>
    </font>
    <font>
      <sz val="11"/>
      <color theme="1"/>
      <name val="Segoe UI"/>
      <family val="2"/>
    </font>
    <font>
      <b/>
      <sz val="11"/>
      <color rgb="FFFF0000"/>
      <name val="Calibri"/>
      <family val="2"/>
      <scheme val="minor"/>
    </font>
    <font>
      <b/>
      <sz val="16"/>
      <color theme="1"/>
      <name val="Calibri"/>
      <family val="2"/>
      <scheme val="minor"/>
    </font>
    <font>
      <b/>
      <sz val="16"/>
      <color rgb="FFFF0000"/>
      <name val="Calibri"/>
      <family val="2"/>
      <scheme val="minor"/>
    </font>
    <font>
      <sz val="12"/>
      <color theme="1"/>
      <name val="Segoe UI"/>
      <family val="2"/>
    </font>
  </fonts>
  <fills count="5">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1"/>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style="double">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13">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14" fontId="0" fillId="0" borderId="2" xfId="0" applyNumberFormat="1" applyBorder="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wrapText="1"/>
    </xf>
    <xf numFmtId="0" fontId="0" fillId="3" borderId="1" xfId="0" applyFill="1" applyBorder="1" applyAlignment="1">
      <alignment horizontal="center" vertical="center"/>
    </xf>
    <xf numFmtId="0" fontId="5" fillId="0" borderId="0" xfId="0" applyFont="1" applyAlignment="1">
      <alignment vertical="center"/>
    </xf>
    <xf numFmtId="0" fontId="6" fillId="0" borderId="0" xfId="0" applyFont="1" applyAlignment="1">
      <alignment horizontal="left" vertical="center" indent="1"/>
    </xf>
    <xf numFmtId="0" fontId="5" fillId="0" borderId="0" xfId="0" applyFont="1" applyAlignment="1">
      <alignment horizontal="left" vertical="center" indent="1"/>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6" fillId="0" borderId="0" xfId="0" applyFont="1"/>
    <xf numFmtId="0" fontId="0" fillId="0" borderId="0" xfId="0" applyAlignment="1">
      <alignment wrapText="1"/>
    </xf>
    <xf numFmtId="0" fontId="0" fillId="0" borderId="0" xfId="0" applyAlignment="1">
      <alignment vertical="center" wrapText="1"/>
    </xf>
    <xf numFmtId="0" fontId="9" fillId="0" borderId="0" xfId="0" applyFont="1" applyAlignment="1">
      <alignment vertical="center" wrapText="1"/>
    </xf>
    <xf numFmtId="0" fontId="0" fillId="0" borderId="0" xfId="0" applyAlignment="1">
      <alignment horizontal="left" vertical="center" wrapText="1" indent="1"/>
    </xf>
    <xf numFmtId="0" fontId="9" fillId="0" borderId="0" xfId="0" applyFont="1" applyAlignment="1">
      <alignment horizontal="left" vertical="center" wrapText="1" indent="1"/>
    </xf>
    <xf numFmtId="0" fontId="5" fillId="0" borderId="0" xfId="0" applyFont="1" applyAlignment="1">
      <alignment vertical="center" wrapText="1"/>
    </xf>
    <xf numFmtId="0" fontId="6"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wrapText="1"/>
    </xf>
    <xf numFmtId="44" fontId="0" fillId="0" borderId="0" xfId="1" applyFont="1" applyFill="1" applyBorder="1"/>
    <xf numFmtId="0" fontId="2" fillId="0" borderId="6" xfId="0" applyFont="1" applyBorder="1" applyAlignment="1">
      <alignment horizontal="center" vertical="center" wrapText="1"/>
    </xf>
    <xf numFmtId="0" fontId="2" fillId="0" borderId="2" xfId="0" applyFont="1" applyBorder="1" applyAlignment="1">
      <alignment horizontal="center" vertical="center" wrapText="1"/>
    </xf>
    <xf numFmtId="165" fontId="0" fillId="3" borderId="1" xfId="2" applyNumberFormat="1" applyFont="1" applyFill="1" applyBorder="1" applyAlignment="1">
      <alignment horizontal="center" vertical="center"/>
    </xf>
    <xf numFmtId="165" fontId="0" fillId="2" borderId="1" xfId="2" applyNumberFormat="1" applyFont="1" applyFill="1" applyBorder="1" applyAlignment="1">
      <alignment horizontal="center" vertical="center"/>
    </xf>
    <xf numFmtId="2" fontId="0" fillId="3" borderId="1" xfId="0" applyNumberFormat="1" applyFill="1" applyBorder="1" applyAlignment="1">
      <alignment horizontal="center" vertical="center"/>
    </xf>
    <xf numFmtId="164" fontId="0" fillId="2" borderId="1" xfId="0" applyNumberFormat="1" applyFill="1" applyBorder="1" applyAlignment="1">
      <alignment horizontal="center" vertical="center"/>
    </xf>
    <xf numFmtId="0" fontId="0" fillId="0" borderId="0" xfId="0" applyAlignment="1">
      <alignment vertical="top" wrapText="1"/>
    </xf>
    <xf numFmtId="44" fontId="2" fillId="2" borderId="1" xfId="1" applyFont="1" applyFill="1" applyBorder="1" applyAlignment="1">
      <alignment horizontal="center" vertical="center"/>
    </xf>
    <xf numFmtId="44" fontId="2" fillId="3" borderId="12" xfId="1" applyFont="1" applyFill="1" applyBorder="1" applyAlignment="1">
      <alignment horizontal="center" vertical="center"/>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0" fillId="0" borderId="14" xfId="0" applyBorder="1" applyAlignment="1">
      <alignment horizontal="center" vertical="center" wrapText="1"/>
    </xf>
    <xf numFmtId="0" fontId="2" fillId="0" borderId="14" xfId="0" applyFont="1" applyBorder="1" applyAlignment="1">
      <alignment horizontal="center" vertical="center"/>
    </xf>
    <xf numFmtId="0" fontId="2" fillId="0" borderId="15" xfId="0" applyFont="1" applyBorder="1" applyAlignment="1">
      <alignment horizontal="center" vertical="center" wrapText="1"/>
    </xf>
    <xf numFmtId="0" fontId="0" fillId="0" borderId="16" xfId="0" applyBorder="1" applyAlignment="1">
      <alignment horizontal="center" vertical="center" wrapText="1"/>
    </xf>
    <xf numFmtId="0" fontId="0" fillId="0" borderId="18" xfId="0" applyBorder="1" applyAlignment="1">
      <alignment horizontal="center" vertical="center" wrapText="1"/>
    </xf>
    <xf numFmtId="0" fontId="0" fillId="3" borderId="19" xfId="0" applyFill="1" applyBorder="1" applyAlignment="1">
      <alignment horizontal="center" vertical="center"/>
    </xf>
    <xf numFmtId="165" fontId="0" fillId="2" borderId="19" xfId="2" applyNumberFormat="1" applyFont="1" applyFill="1" applyBorder="1" applyAlignment="1">
      <alignment horizontal="center" vertical="center"/>
    </xf>
    <xf numFmtId="44" fontId="2" fillId="2" borderId="19" xfId="1" applyFont="1" applyFill="1" applyBorder="1" applyAlignment="1">
      <alignment horizontal="center" vertical="center"/>
    </xf>
    <xf numFmtId="165" fontId="0" fillId="0" borderId="0" xfId="2" applyNumberFormat="1" applyFont="1" applyFill="1" applyBorder="1"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166" fontId="0" fillId="0" borderId="0" xfId="0" applyNumberFormat="1" applyAlignment="1">
      <alignment horizontal="center" vertical="center"/>
    </xf>
    <xf numFmtId="44" fontId="2" fillId="0" borderId="0" xfId="1" applyFont="1" applyFill="1" applyBorder="1" applyAlignment="1">
      <alignment horizontal="center" vertical="center"/>
    </xf>
    <xf numFmtId="44" fontId="2" fillId="0" borderId="0" xfId="1" applyFont="1" applyFill="1" applyBorder="1"/>
    <xf numFmtId="164" fontId="2" fillId="0" borderId="0" xfId="0" applyNumberFormat="1" applyFont="1" applyAlignment="1">
      <alignment horizontal="center" vertical="center"/>
    </xf>
    <xf numFmtId="167" fontId="0" fillId="2" borderId="1" xfId="0" applyNumberFormat="1" applyFill="1" applyBorder="1" applyAlignment="1">
      <alignment horizontal="center" vertical="center"/>
    </xf>
    <xf numFmtId="167" fontId="0" fillId="2" borderId="19" xfId="0" applyNumberFormat="1" applyFill="1" applyBorder="1" applyAlignment="1">
      <alignment horizontal="center" vertical="center"/>
    </xf>
    <xf numFmtId="0" fontId="10" fillId="0" borderId="14" xfId="0" applyFont="1" applyBorder="1" applyAlignment="1">
      <alignment horizontal="center" vertical="center" wrapText="1"/>
    </xf>
    <xf numFmtId="165" fontId="0" fillId="3" borderId="21" xfId="2" applyNumberFormat="1" applyFont="1" applyFill="1" applyBorder="1" applyAlignment="1">
      <alignment horizontal="center" vertical="center"/>
    </xf>
    <xf numFmtId="168" fontId="0" fillId="2" borderId="28" xfId="0" applyNumberFormat="1" applyFill="1" applyBorder="1" applyAlignment="1">
      <alignment horizontal="center" vertical="center"/>
    </xf>
    <xf numFmtId="168" fontId="0" fillId="2" borderId="29" xfId="0" applyNumberFormat="1" applyFill="1" applyBorder="1" applyAlignment="1">
      <alignment horizontal="center" vertical="center"/>
    </xf>
    <xf numFmtId="0" fontId="2" fillId="3" borderId="12" xfId="0" applyFont="1" applyFill="1" applyBorder="1" applyAlignment="1">
      <alignment horizontal="center" vertical="center"/>
    </xf>
    <xf numFmtId="0" fontId="2" fillId="2" borderId="12" xfId="0" applyFont="1" applyFill="1" applyBorder="1" applyAlignment="1">
      <alignment horizontal="center" vertical="center"/>
    </xf>
    <xf numFmtId="165" fontId="0" fillId="0" borderId="0" xfId="0" applyNumberFormat="1" applyAlignment="1">
      <alignment horizontal="center" vertical="center"/>
    </xf>
    <xf numFmtId="2" fontId="0" fillId="3" borderId="19" xfId="0" applyNumberFormat="1" applyFill="1" applyBorder="1" applyAlignment="1">
      <alignment horizontal="center" vertical="center"/>
    </xf>
    <xf numFmtId="0" fontId="13" fillId="0" borderId="0" xfId="0" applyFont="1" applyAlignment="1">
      <alignment vertical="center"/>
    </xf>
    <xf numFmtId="0" fontId="0" fillId="0" borderId="0" xfId="0" applyAlignment="1">
      <alignment horizontal="left" vertical="center" indent="1"/>
    </xf>
    <xf numFmtId="0" fontId="13" fillId="0" borderId="0" xfId="0" applyFont="1" applyAlignment="1">
      <alignment horizontal="left" vertical="center" indent="1"/>
    </xf>
    <xf numFmtId="44" fontId="2" fillId="2" borderId="17" xfId="1" applyFont="1" applyFill="1" applyBorder="1" applyAlignment="1">
      <alignment horizontal="center" vertical="center"/>
    </xf>
    <xf numFmtId="44" fontId="2" fillId="2" borderId="20" xfId="1" applyFont="1" applyFill="1" applyBorder="1" applyAlignment="1">
      <alignment horizontal="center" vertical="center"/>
    </xf>
    <xf numFmtId="165" fontId="12" fillId="0" borderId="0" xfId="2" applyNumberFormat="1" applyFont="1" applyFill="1" applyBorder="1" applyAlignment="1">
      <alignment horizontal="center" vertical="center"/>
    </xf>
    <xf numFmtId="44" fontId="2" fillId="0" borderId="0" xfId="1" applyFont="1" applyFill="1" applyBorder="1" applyAlignment="1">
      <alignment horizontal="center"/>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10" fillId="0" borderId="32" xfId="0" applyFont="1" applyBorder="1" applyAlignment="1">
      <alignment horizontal="center" vertical="center" wrapText="1"/>
    </xf>
    <xf numFmtId="0" fontId="2" fillId="0" borderId="34" xfId="0" applyFont="1" applyBorder="1" applyAlignment="1">
      <alignment horizontal="center" vertical="center" wrapText="1"/>
    </xf>
    <xf numFmtId="0" fontId="0" fillId="0" borderId="35" xfId="0" applyBorder="1" applyAlignment="1">
      <alignment horizontal="center" vertical="center" wrapText="1"/>
    </xf>
    <xf numFmtId="0" fontId="0" fillId="3" borderId="36" xfId="0" applyFill="1" applyBorder="1" applyAlignment="1">
      <alignment horizontal="center" vertical="center"/>
    </xf>
    <xf numFmtId="165" fontId="0" fillId="2" borderId="36" xfId="2" applyNumberFormat="1" applyFont="1" applyFill="1" applyBorder="1" applyAlignment="1">
      <alignment horizontal="center" vertical="center"/>
    </xf>
    <xf numFmtId="168" fontId="0" fillId="2" borderId="38" xfId="0" applyNumberFormat="1" applyFill="1" applyBorder="1" applyAlignment="1">
      <alignment horizontal="center" vertical="center"/>
    </xf>
    <xf numFmtId="0" fontId="2" fillId="0" borderId="39" xfId="0" applyFont="1" applyBorder="1" applyAlignment="1">
      <alignment horizontal="center" vertical="center" wrapText="1"/>
    </xf>
    <xf numFmtId="0" fontId="2" fillId="3" borderId="40" xfId="0" applyFont="1" applyFill="1" applyBorder="1" applyAlignment="1">
      <alignment horizontal="center" vertical="center"/>
    </xf>
    <xf numFmtId="165" fontId="2" fillId="2" borderId="40" xfId="2" applyNumberFormat="1" applyFont="1" applyFill="1" applyBorder="1" applyAlignment="1">
      <alignment horizontal="center" vertical="center"/>
    </xf>
    <xf numFmtId="0" fontId="2" fillId="4" borderId="41" xfId="0" applyFont="1" applyFill="1" applyBorder="1" applyAlignment="1">
      <alignment horizontal="center" vertical="center"/>
    </xf>
    <xf numFmtId="0" fontId="2" fillId="4" borderId="40" xfId="0" applyFont="1" applyFill="1" applyBorder="1" applyAlignment="1">
      <alignment horizontal="center" vertical="center"/>
    </xf>
    <xf numFmtId="165" fontId="10" fillId="2" borderId="40" xfId="2" applyNumberFormat="1" applyFont="1" applyFill="1" applyBorder="1" applyAlignment="1">
      <alignment horizontal="center" vertical="center"/>
    </xf>
    <xf numFmtId="165" fontId="2" fillId="3" borderId="40" xfId="2" applyNumberFormat="1" applyFont="1" applyFill="1" applyBorder="1" applyAlignment="1">
      <alignment horizontal="center" vertical="center"/>
    </xf>
    <xf numFmtId="165" fontId="2" fillId="2" borderId="41" xfId="2" applyNumberFormat="1" applyFont="1" applyFill="1" applyBorder="1" applyAlignment="1">
      <alignment horizontal="center" vertical="center"/>
    </xf>
    <xf numFmtId="168" fontId="2" fillId="2" borderId="40" xfId="0" applyNumberFormat="1" applyFont="1" applyFill="1" applyBorder="1" applyAlignment="1">
      <alignment horizontal="center" vertical="center"/>
    </xf>
    <xf numFmtId="44" fontId="2" fillId="2" borderId="40" xfId="1" applyFont="1" applyFill="1" applyBorder="1" applyAlignment="1">
      <alignment horizontal="center" vertical="center"/>
    </xf>
    <xf numFmtId="44" fontId="2" fillId="2" borderId="42" xfId="1" applyFont="1" applyFill="1" applyBorder="1" applyAlignment="1">
      <alignment horizontal="center"/>
    </xf>
    <xf numFmtId="165" fontId="2" fillId="2" borderId="30" xfId="2" applyNumberFormat="1" applyFont="1" applyFill="1" applyBorder="1" applyAlignment="1">
      <alignment horizontal="center" vertical="center"/>
    </xf>
    <xf numFmtId="169" fontId="0" fillId="2" borderId="37" xfId="0" applyNumberFormat="1" applyFill="1" applyBorder="1" applyAlignment="1">
      <alignment horizontal="center" vertical="center"/>
    </xf>
    <xf numFmtId="169" fontId="0" fillId="2" borderId="24" xfId="0" applyNumberFormat="1" applyFill="1" applyBorder="1" applyAlignment="1">
      <alignment horizontal="center" vertical="center"/>
    </xf>
    <xf numFmtId="169" fontId="0" fillId="2" borderId="25" xfId="0" applyNumberFormat="1" applyFill="1" applyBorder="1" applyAlignment="1">
      <alignment horizontal="center" vertical="center"/>
    </xf>
    <xf numFmtId="165" fontId="2" fillId="2" borderId="43" xfId="0" applyNumberFormat="1" applyFont="1" applyFill="1" applyBorder="1" applyAlignment="1">
      <alignment horizontal="center" vertical="center"/>
    </xf>
    <xf numFmtId="164" fontId="0" fillId="2" borderId="19" xfId="0" applyNumberFormat="1" applyFill="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169" fontId="11" fillId="2" borderId="22" xfId="0" applyNumberFormat="1" applyFont="1" applyFill="1" applyBorder="1" applyAlignment="1">
      <alignment horizontal="center" vertical="center"/>
    </xf>
    <xf numFmtId="169" fontId="11" fillId="2" borderId="23" xfId="0" applyNumberFormat="1" applyFont="1" applyFill="1" applyBorder="1" applyAlignment="1">
      <alignment horizontal="center" vertical="center"/>
    </xf>
    <xf numFmtId="166" fontId="11" fillId="2" borderId="26" xfId="0" applyNumberFormat="1" applyFont="1" applyFill="1" applyBorder="1" applyAlignment="1">
      <alignment horizontal="center" vertical="center"/>
    </xf>
    <xf numFmtId="166" fontId="11" fillId="2" borderId="27" xfId="0" applyNumberFormat="1" applyFont="1" applyFill="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165" fontId="10" fillId="2" borderId="1" xfId="2" applyNumberFormat="1" applyFont="1" applyFill="1" applyBorder="1" applyAlignment="1">
      <alignment horizontal="center" vertical="center"/>
    </xf>
    <xf numFmtId="165" fontId="10" fillId="2" borderId="19" xfId="2" applyNumberFormat="1" applyFont="1" applyFill="1" applyBorder="1" applyAlignment="1">
      <alignment horizontal="center" vertical="center"/>
    </xf>
    <xf numFmtId="165" fontId="12" fillId="2" borderId="21" xfId="2" applyNumberFormat="1" applyFont="1" applyFill="1" applyBorder="1" applyAlignment="1">
      <alignment horizontal="center" vertical="center"/>
    </xf>
    <xf numFmtId="165" fontId="12" fillId="2" borderId="22" xfId="2" applyNumberFormat="1" applyFont="1" applyFill="1" applyBorder="1" applyAlignment="1">
      <alignment horizontal="center" vertical="center"/>
    </xf>
    <xf numFmtId="165" fontId="12" fillId="2" borderId="23" xfId="2" applyNumberFormat="1" applyFont="1" applyFill="1" applyBorder="1" applyAlignment="1">
      <alignment horizontal="center" vertical="center"/>
    </xf>
    <xf numFmtId="0" fontId="0" fillId="0" borderId="0" xfId="0" applyAlignment="1">
      <alignment horizontal="center" vertic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5E2CE-6E88-4E0A-AD2E-D79A4EDAF932}">
  <dimension ref="A1:S44"/>
  <sheetViews>
    <sheetView showGridLines="0" tabSelected="1" workbookViewId="0">
      <selection activeCell="Q29" sqref="Q29"/>
    </sheetView>
  </sheetViews>
  <sheetFormatPr defaultRowHeight="15"/>
  <cols>
    <col min="1" max="1" width="23" style="5" bestFit="1" customWidth="1"/>
    <col min="2" max="2" width="16.85546875" style="1" customWidth="1"/>
    <col min="3" max="3" width="12.140625" style="1" bestFit="1" customWidth="1"/>
    <col min="4" max="4" width="12.28515625" style="1" bestFit="1" customWidth="1"/>
    <col min="5" max="5" width="18.140625" style="1" bestFit="1" customWidth="1"/>
    <col min="6" max="7" width="18.140625" bestFit="1" customWidth="1"/>
    <col min="8" max="8" width="13.140625" customWidth="1"/>
    <col min="9" max="9" width="12.140625" customWidth="1"/>
    <col min="10" max="10" width="13.140625" customWidth="1"/>
    <col min="11" max="11" width="21.7109375" bestFit="1" customWidth="1"/>
    <col min="12" max="12" width="21.42578125" customWidth="1"/>
    <col min="13" max="13" width="13.42578125" customWidth="1"/>
    <col min="14" max="14" width="15.42578125" customWidth="1"/>
    <col min="15" max="15" width="17" customWidth="1"/>
    <col min="16" max="16" width="18.42578125" bestFit="1" customWidth="1"/>
    <col min="17" max="17" width="13.5703125" customWidth="1"/>
    <col min="18" max="18" width="17.140625" customWidth="1"/>
    <col min="19" max="19" width="26.140625" customWidth="1"/>
  </cols>
  <sheetData>
    <row r="1" spans="1:19" ht="27" customHeight="1" thickBot="1">
      <c r="A1" s="94" t="s">
        <v>81</v>
      </c>
      <c r="B1" s="95"/>
      <c r="C1" s="95"/>
      <c r="D1" s="95"/>
      <c r="E1" s="96"/>
      <c r="F1" s="56" t="s">
        <v>1</v>
      </c>
      <c r="G1" s="57" t="s">
        <v>2</v>
      </c>
      <c r="H1" s="5"/>
      <c r="I1" s="5"/>
      <c r="J1" s="5"/>
      <c r="K1" s="5"/>
      <c r="L1" s="5"/>
      <c r="M1" s="5"/>
      <c r="N1" s="5"/>
    </row>
    <row r="2" spans="1:19" ht="15.75" thickBot="1">
      <c r="A2" s="24" t="s">
        <v>0</v>
      </c>
      <c r="B2" s="3"/>
      <c r="F2" s="5"/>
      <c r="G2" s="5"/>
      <c r="H2" s="5"/>
      <c r="I2" s="5"/>
      <c r="J2" s="5"/>
      <c r="K2" s="5"/>
      <c r="L2" s="5"/>
      <c r="M2" s="5"/>
      <c r="N2" s="5"/>
    </row>
    <row r="3" spans="1:19" ht="15.75" customHeight="1" thickBot="1">
      <c r="A3" s="25" t="s">
        <v>4</v>
      </c>
      <c r="B3" s="97"/>
      <c r="C3" s="98"/>
      <c r="D3" s="99"/>
      <c r="F3" s="5"/>
      <c r="G3" s="5"/>
      <c r="H3" s="5"/>
      <c r="I3" s="5"/>
      <c r="J3" s="5"/>
      <c r="K3" s="5"/>
      <c r="L3" s="5"/>
      <c r="M3" s="5"/>
      <c r="N3" s="5"/>
    </row>
    <row r="4" spans="1:19" ht="15.75" thickBot="1">
      <c r="A4" s="25" t="s">
        <v>5</v>
      </c>
      <c r="B4" s="32"/>
      <c r="F4" s="1"/>
      <c r="G4" s="1"/>
      <c r="H4" s="2"/>
      <c r="I4" s="2"/>
      <c r="J4" s="2"/>
      <c r="K4" s="5"/>
      <c r="L4" s="5"/>
      <c r="M4" s="5"/>
      <c r="N4" s="5"/>
    </row>
    <row r="5" spans="1:19" ht="15.75" thickBot="1">
      <c r="A5" s="4"/>
      <c r="B5" s="2"/>
      <c r="F5" s="112"/>
      <c r="G5" s="112"/>
      <c r="H5" s="1"/>
      <c r="I5" s="1"/>
      <c r="J5" s="1"/>
      <c r="K5" s="5"/>
      <c r="L5" s="5"/>
      <c r="M5" s="5"/>
      <c r="N5" s="5"/>
      <c r="O5" s="30"/>
      <c r="P5" s="30"/>
      <c r="Q5" s="30"/>
    </row>
    <row r="6" spans="1:19" ht="15.75" thickBot="1">
      <c r="A6" s="104" t="s">
        <v>39</v>
      </c>
      <c r="B6" s="105"/>
      <c r="C6" s="105"/>
      <c r="D6" s="106"/>
      <c r="E6" s="2"/>
      <c r="F6" s="1"/>
      <c r="G6" s="1"/>
      <c r="H6" s="1"/>
      <c r="I6" s="1"/>
      <c r="J6" s="1"/>
      <c r="K6" s="1"/>
      <c r="L6" s="1"/>
      <c r="M6" s="1"/>
      <c r="N6" s="1"/>
    </row>
    <row r="7" spans="1:19" ht="46.5" customHeight="1">
      <c r="A7" s="33" t="s">
        <v>87</v>
      </c>
      <c r="B7" s="34" t="s">
        <v>6</v>
      </c>
      <c r="C7" s="35" t="s">
        <v>59</v>
      </c>
      <c r="D7" s="35" t="s">
        <v>58</v>
      </c>
      <c r="E7" s="35" t="s">
        <v>36</v>
      </c>
      <c r="F7" s="35" t="s">
        <v>37</v>
      </c>
      <c r="G7" s="52" t="s">
        <v>38</v>
      </c>
      <c r="H7" s="34" t="s">
        <v>249</v>
      </c>
      <c r="I7" s="35" t="s">
        <v>248</v>
      </c>
      <c r="J7" s="35" t="s">
        <v>8</v>
      </c>
      <c r="K7" s="35" t="s">
        <v>3</v>
      </c>
      <c r="L7" s="36" t="s">
        <v>74</v>
      </c>
      <c r="M7" s="34" t="s">
        <v>61</v>
      </c>
      <c r="N7" s="37" t="s">
        <v>60</v>
      </c>
      <c r="P7" s="4"/>
    </row>
    <row r="8" spans="1:19">
      <c r="A8" s="38" t="s">
        <v>55</v>
      </c>
      <c r="B8" s="6">
        <v>0</v>
      </c>
      <c r="C8" s="27">
        <f>IF(B8&gt;0, (100/(B8+100)), (B8/-(100-B8)))</f>
        <v>0</v>
      </c>
      <c r="D8" s="27">
        <f>1-C8</f>
        <v>1</v>
      </c>
      <c r="E8" s="27">
        <f>IFERROR(C8/(SUM($C$8:$C$9)),0)</f>
        <v>0</v>
      </c>
      <c r="F8" s="27">
        <f>1-E8</f>
        <v>1</v>
      </c>
      <c r="G8" s="107">
        <f>IFERROR(SUM(C8:C9)-1,0)</f>
        <v>-1</v>
      </c>
      <c r="H8" s="26">
        <v>0</v>
      </c>
      <c r="I8" s="27">
        <f t="shared" ref="I8:I9" si="0">1-H8</f>
        <v>1</v>
      </c>
      <c r="J8" s="50">
        <f>IFERROR(((1/C8)-1),0)</f>
        <v>0</v>
      </c>
      <c r="K8" s="27">
        <f t="shared" ref="K8:K9" si="1">IFERROR(IF(H8-(I8/J8)&lt;0,0,H8-(I8/J8)),0)</f>
        <v>0</v>
      </c>
      <c r="L8" s="31">
        <f t="shared" ref="L8:L9" si="2">IFERROR((K8*$B$4),0)</f>
        <v>0</v>
      </c>
      <c r="M8" s="31">
        <f>(H8*(J8*L8))-(I8*L8)</f>
        <v>0</v>
      </c>
      <c r="N8" s="63">
        <f>(H8*(J8*L8))-(I8*(L8*(1+G8)))</f>
        <v>0</v>
      </c>
      <c r="P8" s="47"/>
    </row>
    <row r="9" spans="1:19" ht="15.75" thickBot="1">
      <c r="A9" s="39" t="s">
        <v>56</v>
      </c>
      <c r="B9" s="40">
        <v>0</v>
      </c>
      <c r="C9" s="41">
        <f t="shared" ref="C8:C9" si="3">IF(B9&gt;0, (100/(B9+100)), (B9/-(100-B9)))</f>
        <v>0</v>
      </c>
      <c r="D9" s="41">
        <f>1-C9</f>
        <v>1</v>
      </c>
      <c r="E9" s="41">
        <f>IFERROR(C9/(SUM($C$8:$C$9)),0)</f>
        <v>0</v>
      </c>
      <c r="F9" s="41">
        <f t="shared" ref="F9" si="4">1-E9</f>
        <v>1</v>
      </c>
      <c r="G9" s="108"/>
      <c r="H9" s="53">
        <v>0</v>
      </c>
      <c r="I9" s="41">
        <f t="shared" si="0"/>
        <v>1</v>
      </c>
      <c r="J9" s="51">
        <f>IFERROR(((1/C9)-1),0)</f>
        <v>0</v>
      </c>
      <c r="K9" s="41">
        <f t="shared" si="1"/>
        <v>0</v>
      </c>
      <c r="L9" s="42">
        <f t="shared" si="2"/>
        <v>0</v>
      </c>
      <c r="M9" s="42">
        <f>(H9*(J9*L9))-(I9*L9)</f>
        <v>0</v>
      </c>
      <c r="N9" s="64">
        <f>(H9*(J9*L9))-(I9*(L9*(1+G8)))</f>
        <v>0</v>
      </c>
      <c r="P9" s="49"/>
    </row>
    <row r="10" spans="1:19" ht="15.75" thickBot="1">
      <c r="C10" s="43"/>
      <c r="D10" s="44"/>
      <c r="E10" s="43"/>
      <c r="F10" s="43"/>
      <c r="G10" s="43" t="s">
        <v>83</v>
      </c>
      <c r="H10" s="88">
        <f>SUM(H8:H9)</f>
        <v>0</v>
      </c>
      <c r="I10" s="43"/>
      <c r="J10" s="43"/>
      <c r="K10" s="43"/>
      <c r="L10" s="47"/>
      <c r="M10" s="1"/>
      <c r="N10" s="46"/>
      <c r="O10" s="47"/>
      <c r="P10" s="48"/>
      <c r="Q10" s="48"/>
      <c r="R10" s="49"/>
      <c r="S10" s="49"/>
    </row>
    <row r="11" spans="1:19" ht="16.5" thickTop="1" thickBot="1">
      <c r="A11" s="104" t="s">
        <v>57</v>
      </c>
      <c r="B11" s="105"/>
      <c r="C11" s="105"/>
      <c r="D11" s="106"/>
      <c r="E11" s="43"/>
      <c r="F11" s="43"/>
      <c r="G11" s="43"/>
      <c r="H11" s="43"/>
      <c r="I11" s="43"/>
      <c r="J11" s="43"/>
      <c r="K11" s="43"/>
      <c r="L11" s="43"/>
      <c r="M11" s="45"/>
      <c r="N11" s="46"/>
      <c r="O11" s="47"/>
      <c r="P11" s="48"/>
      <c r="Q11" s="48"/>
      <c r="R11" s="49"/>
      <c r="S11" s="49"/>
    </row>
    <row r="12" spans="1:19" ht="30.75" thickBot="1">
      <c r="A12" s="67" t="s">
        <v>84</v>
      </c>
      <c r="B12" s="68" t="s">
        <v>6</v>
      </c>
      <c r="C12" s="69" t="s">
        <v>59</v>
      </c>
      <c r="D12" s="69" t="s">
        <v>58</v>
      </c>
      <c r="E12" s="70" t="s">
        <v>72</v>
      </c>
      <c r="F12" s="69" t="s">
        <v>73</v>
      </c>
      <c r="G12" s="70" t="s">
        <v>82</v>
      </c>
      <c r="H12" s="71" t="s">
        <v>38</v>
      </c>
      <c r="I12" s="34" t="s">
        <v>249</v>
      </c>
      <c r="J12" s="35" t="s">
        <v>248</v>
      </c>
      <c r="K12" s="69" t="s">
        <v>8</v>
      </c>
      <c r="L12" s="69" t="s">
        <v>3</v>
      </c>
      <c r="M12" s="68" t="s">
        <v>74</v>
      </c>
      <c r="N12" s="68" t="s">
        <v>61</v>
      </c>
      <c r="O12" s="72" t="s">
        <v>60</v>
      </c>
      <c r="P12" s="4"/>
      <c r="Q12" s="4"/>
    </row>
    <row r="13" spans="1:19" ht="15.75" customHeight="1" thickBot="1">
      <c r="A13" s="77" t="s">
        <v>62</v>
      </c>
      <c r="B13" s="78">
        <v>0</v>
      </c>
      <c r="C13" s="79">
        <f t="shared" ref="C13:C22" si="5">IF(B13&gt;0, (100/(B13+100)), (B13/-(100-B13)))</f>
        <v>0</v>
      </c>
      <c r="D13" s="79">
        <f>1-C13</f>
        <v>1</v>
      </c>
      <c r="E13" s="80"/>
      <c r="F13" s="81"/>
      <c r="G13" s="80"/>
      <c r="H13" s="82">
        <f>IFERROR((G14/B13)-1,0)</f>
        <v>0</v>
      </c>
      <c r="I13" s="83">
        <v>0</v>
      </c>
      <c r="J13" s="84">
        <f t="shared" ref="J13" si="6">1-I13</f>
        <v>1</v>
      </c>
      <c r="K13" s="85">
        <f>IFERROR(((1/C13)-1),0)</f>
        <v>0</v>
      </c>
      <c r="L13" s="79">
        <f>IFERROR(IF(I13-(J13/K13)&lt;0,0,I13-(J13/K13)),0)</f>
        <v>0</v>
      </c>
      <c r="M13" s="86">
        <f t="shared" ref="M13" si="7">IFERROR((L13*$B$4),0)</f>
        <v>0</v>
      </c>
      <c r="N13" s="86">
        <f>(I13*(K13*M13))-(J13*M13)</f>
        <v>0</v>
      </c>
      <c r="O13" s="87">
        <f>(I13*(K13*M13))-(J13*(M13*(1+H13)))</f>
        <v>0</v>
      </c>
      <c r="P13" s="49"/>
      <c r="Q13" s="49"/>
    </row>
    <row r="14" spans="1:19" ht="15" customHeight="1" thickTop="1">
      <c r="A14" s="73" t="s">
        <v>63</v>
      </c>
      <c r="B14" s="74">
        <v>0</v>
      </c>
      <c r="C14" s="75">
        <f t="shared" si="5"/>
        <v>0</v>
      </c>
      <c r="D14" s="75">
        <f t="shared" ref="D14:D22" si="8">1-C14</f>
        <v>1</v>
      </c>
      <c r="E14" s="89">
        <f>K14+1</f>
        <v>1</v>
      </c>
      <c r="F14" s="100">
        <f>PRODUCT(E14:E22)</f>
        <v>1</v>
      </c>
      <c r="G14" s="102">
        <f>IFERROR(IF((F14-1)&gt;=1,(F14-1)*100,-(1/(F14-1)*100)),0)</f>
        <v>0</v>
      </c>
      <c r="H14" s="1"/>
      <c r="I14" s="43"/>
      <c r="J14" s="43"/>
      <c r="K14" s="76">
        <f t="shared" ref="K14:K22" si="9">IFERROR(((1/C14)-1),0)</f>
        <v>0</v>
      </c>
      <c r="L14" s="43"/>
      <c r="M14" s="47"/>
      <c r="N14" s="47"/>
      <c r="O14" s="66"/>
      <c r="P14" s="49"/>
      <c r="Q14" s="49"/>
    </row>
    <row r="15" spans="1:19" ht="15" customHeight="1">
      <c r="A15" s="38" t="s">
        <v>64</v>
      </c>
      <c r="B15" s="6">
        <v>0</v>
      </c>
      <c r="C15" s="27">
        <f t="shared" si="5"/>
        <v>0</v>
      </c>
      <c r="D15" s="27">
        <f t="shared" si="8"/>
        <v>1</v>
      </c>
      <c r="E15" s="90">
        <f t="shared" ref="E15:E22" si="10">K15+1</f>
        <v>1</v>
      </c>
      <c r="F15" s="100"/>
      <c r="G15" s="102"/>
      <c r="H15" s="65"/>
      <c r="I15" s="43"/>
      <c r="J15" s="43"/>
      <c r="K15" s="54">
        <f t="shared" si="9"/>
        <v>0</v>
      </c>
      <c r="L15" s="43"/>
      <c r="M15" s="47"/>
      <c r="N15" s="47"/>
      <c r="O15" s="48"/>
      <c r="P15" s="49"/>
      <c r="Q15" s="49"/>
    </row>
    <row r="16" spans="1:19" ht="16.5" customHeight="1">
      <c r="A16" s="38" t="s">
        <v>65</v>
      </c>
      <c r="B16" s="6">
        <v>0</v>
      </c>
      <c r="C16" s="27">
        <f t="shared" si="5"/>
        <v>0</v>
      </c>
      <c r="D16" s="27">
        <f t="shared" si="8"/>
        <v>1</v>
      </c>
      <c r="E16" s="90">
        <f t="shared" si="10"/>
        <v>1</v>
      </c>
      <c r="F16" s="100"/>
      <c r="G16" s="102"/>
      <c r="H16" s="65"/>
      <c r="I16" s="43"/>
      <c r="J16" s="43"/>
      <c r="K16" s="54">
        <f t="shared" si="9"/>
        <v>0</v>
      </c>
      <c r="L16" s="43"/>
      <c r="M16" s="47"/>
      <c r="N16" s="47"/>
      <c r="O16" s="48"/>
      <c r="P16" s="49"/>
      <c r="Q16" s="49"/>
    </row>
    <row r="17" spans="1:17" ht="15" customHeight="1">
      <c r="A17" s="38" t="s">
        <v>66</v>
      </c>
      <c r="B17" s="6">
        <v>0</v>
      </c>
      <c r="C17" s="27">
        <f t="shared" si="5"/>
        <v>0</v>
      </c>
      <c r="D17" s="27">
        <f t="shared" si="8"/>
        <v>1</v>
      </c>
      <c r="E17" s="90">
        <f t="shared" si="10"/>
        <v>1</v>
      </c>
      <c r="F17" s="100"/>
      <c r="G17" s="102"/>
      <c r="H17" s="65"/>
      <c r="I17" s="43"/>
      <c r="J17" s="43"/>
      <c r="K17" s="54">
        <f t="shared" si="9"/>
        <v>0</v>
      </c>
      <c r="L17" s="43"/>
      <c r="M17" s="47"/>
      <c r="N17" s="47"/>
      <c r="O17" s="48"/>
      <c r="P17" s="49"/>
      <c r="Q17" s="49"/>
    </row>
    <row r="18" spans="1:17" ht="15" customHeight="1">
      <c r="A18" s="38" t="s">
        <v>67</v>
      </c>
      <c r="B18" s="6">
        <v>0</v>
      </c>
      <c r="C18" s="27">
        <f t="shared" si="5"/>
        <v>0</v>
      </c>
      <c r="D18" s="27">
        <f t="shared" si="8"/>
        <v>1</v>
      </c>
      <c r="E18" s="90">
        <f t="shared" si="10"/>
        <v>1</v>
      </c>
      <c r="F18" s="100"/>
      <c r="G18" s="102"/>
      <c r="H18" s="65"/>
      <c r="I18" s="43"/>
      <c r="J18" s="43"/>
      <c r="K18" s="54">
        <f t="shared" si="9"/>
        <v>0</v>
      </c>
      <c r="L18" s="43"/>
      <c r="M18" s="47"/>
      <c r="N18" s="47"/>
      <c r="O18" s="48"/>
      <c r="P18" s="49"/>
      <c r="Q18" s="49"/>
    </row>
    <row r="19" spans="1:17" ht="15" customHeight="1">
      <c r="A19" s="38" t="s">
        <v>68</v>
      </c>
      <c r="B19" s="6">
        <v>0</v>
      </c>
      <c r="C19" s="27">
        <f t="shared" si="5"/>
        <v>0</v>
      </c>
      <c r="D19" s="27">
        <f t="shared" si="8"/>
        <v>1</v>
      </c>
      <c r="E19" s="90">
        <f t="shared" si="10"/>
        <v>1</v>
      </c>
      <c r="F19" s="100"/>
      <c r="G19" s="102"/>
      <c r="H19" s="65"/>
      <c r="I19" s="43"/>
      <c r="J19" s="43"/>
      <c r="K19" s="54">
        <f t="shared" si="9"/>
        <v>0</v>
      </c>
      <c r="L19" s="43"/>
      <c r="M19" s="47"/>
      <c r="N19" s="47"/>
      <c r="O19" s="48"/>
      <c r="P19" s="49"/>
      <c r="Q19" s="49"/>
    </row>
    <row r="20" spans="1:17" ht="15" customHeight="1">
      <c r="A20" s="38" t="s">
        <v>69</v>
      </c>
      <c r="B20" s="6">
        <v>0</v>
      </c>
      <c r="C20" s="27">
        <f t="shared" si="5"/>
        <v>0</v>
      </c>
      <c r="D20" s="27">
        <f t="shared" si="8"/>
        <v>1</v>
      </c>
      <c r="E20" s="90">
        <f t="shared" si="10"/>
        <v>1</v>
      </c>
      <c r="F20" s="100"/>
      <c r="G20" s="102"/>
      <c r="H20" s="65"/>
      <c r="I20" s="43"/>
      <c r="J20" s="43"/>
      <c r="K20" s="54">
        <f t="shared" si="9"/>
        <v>0</v>
      </c>
      <c r="L20" s="43"/>
      <c r="M20" s="47"/>
      <c r="N20" s="47"/>
      <c r="O20" s="48"/>
      <c r="P20" s="49"/>
      <c r="Q20" s="49"/>
    </row>
    <row r="21" spans="1:17" ht="15" customHeight="1">
      <c r="A21" s="38" t="s">
        <v>70</v>
      </c>
      <c r="B21" s="6">
        <v>0</v>
      </c>
      <c r="C21" s="27">
        <f t="shared" si="5"/>
        <v>0</v>
      </c>
      <c r="D21" s="27">
        <f t="shared" si="8"/>
        <v>1</v>
      </c>
      <c r="E21" s="90">
        <f t="shared" si="10"/>
        <v>1</v>
      </c>
      <c r="F21" s="100"/>
      <c r="G21" s="102"/>
      <c r="H21" s="65"/>
      <c r="I21" s="43"/>
      <c r="J21" s="43"/>
      <c r="K21" s="54">
        <f t="shared" si="9"/>
        <v>0</v>
      </c>
      <c r="L21" s="43"/>
      <c r="M21" s="47"/>
      <c r="N21" s="47"/>
      <c r="O21" s="48"/>
      <c r="P21" s="49"/>
      <c r="Q21" s="49"/>
    </row>
    <row r="22" spans="1:17" ht="15.75" customHeight="1" thickBot="1">
      <c r="A22" s="39" t="s">
        <v>71</v>
      </c>
      <c r="B22" s="40">
        <v>0</v>
      </c>
      <c r="C22" s="41">
        <f t="shared" si="5"/>
        <v>0</v>
      </c>
      <c r="D22" s="41">
        <f t="shared" si="8"/>
        <v>1</v>
      </c>
      <c r="E22" s="91">
        <f t="shared" si="10"/>
        <v>1</v>
      </c>
      <c r="F22" s="101"/>
      <c r="G22" s="103"/>
      <c r="H22" s="65"/>
      <c r="I22" s="43"/>
      <c r="J22" s="43"/>
      <c r="K22" s="55">
        <f t="shared" si="9"/>
        <v>0</v>
      </c>
      <c r="L22" s="43"/>
      <c r="M22" s="47"/>
      <c r="N22" s="47"/>
      <c r="O22" s="48"/>
      <c r="P22" s="49"/>
      <c r="Q22" s="49"/>
    </row>
    <row r="23" spans="1:17" ht="15.75" thickBot="1">
      <c r="F23" s="1" t="s">
        <v>83</v>
      </c>
      <c r="G23" s="1"/>
      <c r="H23" s="1"/>
      <c r="I23" s="1"/>
      <c r="J23" s="1"/>
      <c r="K23" s="1"/>
      <c r="L23" s="1"/>
      <c r="M23" s="1"/>
      <c r="N23" s="1"/>
    </row>
    <row r="24" spans="1:17" ht="15.75" thickBot="1">
      <c r="A24" s="104" t="s">
        <v>85</v>
      </c>
      <c r="B24" s="105"/>
      <c r="C24" s="105"/>
      <c r="D24" s="106"/>
      <c r="E24" s="2"/>
      <c r="F24" s="1"/>
      <c r="G24" s="1"/>
      <c r="H24" s="1"/>
      <c r="I24" s="1"/>
      <c r="J24" s="1"/>
      <c r="K24" s="1"/>
      <c r="L24" s="1"/>
      <c r="M24" s="1"/>
      <c r="N24" s="1"/>
    </row>
    <row r="25" spans="1:17" ht="45">
      <c r="A25" s="33" t="s">
        <v>40</v>
      </c>
      <c r="B25" s="34" t="s">
        <v>7</v>
      </c>
      <c r="C25" s="35" t="s">
        <v>59</v>
      </c>
      <c r="D25" s="35" t="s">
        <v>58</v>
      </c>
      <c r="E25" s="35" t="s">
        <v>36</v>
      </c>
      <c r="F25" s="35" t="s">
        <v>37</v>
      </c>
      <c r="G25" s="52" t="s">
        <v>38</v>
      </c>
      <c r="H25" s="34" t="s">
        <v>249</v>
      </c>
      <c r="I25" s="35" t="s">
        <v>248</v>
      </c>
      <c r="J25" s="35" t="s">
        <v>8</v>
      </c>
      <c r="K25" s="35" t="s">
        <v>3</v>
      </c>
      <c r="L25" s="34" t="s">
        <v>74</v>
      </c>
      <c r="M25" s="34" t="s">
        <v>61</v>
      </c>
      <c r="N25" s="37" t="s">
        <v>60</v>
      </c>
      <c r="O25" s="4"/>
      <c r="P25" s="4"/>
    </row>
    <row r="26" spans="1:17">
      <c r="A26" s="38" t="s">
        <v>41</v>
      </c>
      <c r="B26" s="28">
        <v>0</v>
      </c>
      <c r="C26" s="27">
        <f>IF(B26&gt;0, (100/(B26+100)), (B26/-(100-B26)))</f>
        <v>0</v>
      </c>
      <c r="D26" s="27">
        <f>1-C26</f>
        <v>1</v>
      </c>
      <c r="E26" s="27">
        <f>IFERROR(C26/(SUM($C$26:$C$39)),0)</f>
        <v>0</v>
      </c>
      <c r="F26" s="27">
        <f>1-E26</f>
        <v>1</v>
      </c>
      <c r="G26" s="109">
        <f>SUM(C26:C39)-1</f>
        <v>-1</v>
      </c>
      <c r="H26" s="26">
        <v>0</v>
      </c>
      <c r="I26" s="27">
        <f t="shared" ref="I26:I39" si="11">1-H26</f>
        <v>1</v>
      </c>
      <c r="J26" s="29">
        <f>IFERROR(((1/C26)-1),0)</f>
        <v>0</v>
      </c>
      <c r="K26" s="27">
        <f t="shared" ref="K26:K39" si="12">IFERROR(IF(H26-(I26/J26)&lt;0,0,H26-(I26/J26)),0)</f>
        <v>0</v>
      </c>
      <c r="L26" s="31">
        <f t="shared" ref="L26:L39" si="13">IFERROR((K26*$B$4),0)</f>
        <v>0</v>
      </c>
      <c r="M26" s="31">
        <f>(H26*(J26*L26))-(I26*L26)</f>
        <v>0</v>
      </c>
      <c r="N26" s="63">
        <f>(H26*(J26*L26))-(I26*(L26*(1+G$26)))</f>
        <v>0</v>
      </c>
      <c r="O26" s="49"/>
      <c r="P26" s="49"/>
    </row>
    <row r="27" spans="1:17">
      <c r="A27" s="38" t="s">
        <v>42</v>
      </c>
      <c r="B27" s="28">
        <v>0</v>
      </c>
      <c r="C27" s="27">
        <f t="shared" ref="C27:C39" si="14">IF(B27&gt;0, (100/(B27+100)), (B27/-(100-B27)))</f>
        <v>0</v>
      </c>
      <c r="D27" s="27">
        <f t="shared" ref="D27:D39" si="15">1-C27</f>
        <v>1</v>
      </c>
      <c r="E27" s="27">
        <f t="shared" ref="E27:E39" si="16">IFERROR(C27/(SUM($C$26:$C$39)),0)</f>
        <v>0</v>
      </c>
      <c r="F27" s="27">
        <f t="shared" ref="F27:F39" si="17">1-E27</f>
        <v>1</v>
      </c>
      <c r="G27" s="110"/>
      <c r="H27" s="26">
        <v>0</v>
      </c>
      <c r="I27" s="27">
        <f t="shared" si="11"/>
        <v>1</v>
      </c>
      <c r="J27" s="29">
        <f t="shared" ref="J27:J39" si="18">IFERROR(((1/C27)-1),0)</f>
        <v>0</v>
      </c>
      <c r="K27" s="27">
        <f t="shared" si="12"/>
        <v>0</v>
      </c>
      <c r="L27" s="31">
        <f t="shared" si="13"/>
        <v>0</v>
      </c>
      <c r="M27" s="31">
        <f t="shared" ref="M27:M39" si="19">IFERROR((L27+(L27*J27)),0)</f>
        <v>0</v>
      </c>
      <c r="N27" s="63">
        <f t="shared" ref="N27:N38" si="20">(H27*(J27*L27))-(I27*(L27*(1+G$26)))</f>
        <v>0</v>
      </c>
      <c r="O27" s="49"/>
      <c r="P27" s="49"/>
    </row>
    <row r="28" spans="1:17">
      <c r="A28" s="38" t="s">
        <v>43</v>
      </c>
      <c r="B28" s="28">
        <v>0</v>
      </c>
      <c r="C28" s="27">
        <f t="shared" si="14"/>
        <v>0</v>
      </c>
      <c r="D28" s="27">
        <f t="shared" si="15"/>
        <v>1</v>
      </c>
      <c r="E28" s="27">
        <f t="shared" si="16"/>
        <v>0</v>
      </c>
      <c r="F28" s="27">
        <f t="shared" si="17"/>
        <v>1</v>
      </c>
      <c r="G28" s="110"/>
      <c r="H28" s="26">
        <v>0</v>
      </c>
      <c r="I28" s="27">
        <f t="shared" si="11"/>
        <v>1</v>
      </c>
      <c r="J28" s="29">
        <f t="shared" si="18"/>
        <v>0</v>
      </c>
      <c r="K28" s="27">
        <f t="shared" si="12"/>
        <v>0</v>
      </c>
      <c r="L28" s="31">
        <f t="shared" si="13"/>
        <v>0</v>
      </c>
      <c r="M28" s="31">
        <f t="shared" si="19"/>
        <v>0</v>
      </c>
      <c r="N28" s="63">
        <f t="shared" si="20"/>
        <v>0</v>
      </c>
      <c r="O28" s="49"/>
      <c r="P28" s="49"/>
    </row>
    <row r="29" spans="1:17">
      <c r="A29" s="38" t="s">
        <v>44</v>
      </c>
      <c r="B29" s="28">
        <v>0</v>
      </c>
      <c r="C29" s="27">
        <f t="shared" si="14"/>
        <v>0</v>
      </c>
      <c r="D29" s="27">
        <f t="shared" si="15"/>
        <v>1</v>
      </c>
      <c r="E29" s="27">
        <f t="shared" si="16"/>
        <v>0</v>
      </c>
      <c r="F29" s="27">
        <f t="shared" si="17"/>
        <v>1</v>
      </c>
      <c r="G29" s="110"/>
      <c r="H29" s="26">
        <v>0</v>
      </c>
      <c r="I29" s="27">
        <f t="shared" si="11"/>
        <v>1</v>
      </c>
      <c r="J29" s="29">
        <f t="shared" si="18"/>
        <v>0</v>
      </c>
      <c r="K29" s="27">
        <f t="shared" si="12"/>
        <v>0</v>
      </c>
      <c r="L29" s="31">
        <f t="shared" si="13"/>
        <v>0</v>
      </c>
      <c r="M29" s="31">
        <f t="shared" si="19"/>
        <v>0</v>
      </c>
      <c r="N29" s="63">
        <f t="shared" si="20"/>
        <v>0</v>
      </c>
      <c r="O29" s="49"/>
      <c r="P29" s="49"/>
    </row>
    <row r="30" spans="1:17">
      <c r="A30" s="38" t="s">
        <v>45</v>
      </c>
      <c r="B30" s="28">
        <v>0</v>
      </c>
      <c r="C30" s="27">
        <f t="shared" si="14"/>
        <v>0</v>
      </c>
      <c r="D30" s="27">
        <f t="shared" si="15"/>
        <v>1</v>
      </c>
      <c r="E30" s="27">
        <f t="shared" si="16"/>
        <v>0</v>
      </c>
      <c r="F30" s="27">
        <f t="shared" si="17"/>
        <v>1</v>
      </c>
      <c r="G30" s="110"/>
      <c r="H30" s="26">
        <v>0</v>
      </c>
      <c r="I30" s="27">
        <f t="shared" si="11"/>
        <v>1</v>
      </c>
      <c r="J30" s="29">
        <f t="shared" si="18"/>
        <v>0</v>
      </c>
      <c r="K30" s="27">
        <f t="shared" si="12"/>
        <v>0</v>
      </c>
      <c r="L30" s="31">
        <f t="shared" si="13"/>
        <v>0</v>
      </c>
      <c r="M30" s="31">
        <f t="shared" si="19"/>
        <v>0</v>
      </c>
      <c r="N30" s="63">
        <f t="shared" si="20"/>
        <v>0</v>
      </c>
      <c r="O30" s="49"/>
      <c r="P30" s="49"/>
    </row>
    <row r="31" spans="1:17">
      <c r="A31" s="38" t="s">
        <v>46</v>
      </c>
      <c r="B31" s="28">
        <v>0</v>
      </c>
      <c r="C31" s="27">
        <f t="shared" si="14"/>
        <v>0</v>
      </c>
      <c r="D31" s="27">
        <f t="shared" si="15"/>
        <v>1</v>
      </c>
      <c r="E31" s="27">
        <f t="shared" si="16"/>
        <v>0</v>
      </c>
      <c r="F31" s="27">
        <f t="shared" si="17"/>
        <v>1</v>
      </c>
      <c r="G31" s="110"/>
      <c r="H31" s="26">
        <v>0</v>
      </c>
      <c r="I31" s="27">
        <f t="shared" si="11"/>
        <v>1</v>
      </c>
      <c r="J31" s="29">
        <f t="shared" si="18"/>
        <v>0</v>
      </c>
      <c r="K31" s="27">
        <f t="shared" si="12"/>
        <v>0</v>
      </c>
      <c r="L31" s="31">
        <f t="shared" si="13"/>
        <v>0</v>
      </c>
      <c r="M31" s="31">
        <f t="shared" si="19"/>
        <v>0</v>
      </c>
      <c r="N31" s="63">
        <f t="shared" si="20"/>
        <v>0</v>
      </c>
      <c r="O31" s="49"/>
      <c r="P31" s="49"/>
    </row>
    <row r="32" spans="1:17">
      <c r="A32" s="38" t="s">
        <v>47</v>
      </c>
      <c r="B32" s="28">
        <v>0</v>
      </c>
      <c r="C32" s="27">
        <f t="shared" si="14"/>
        <v>0</v>
      </c>
      <c r="D32" s="27">
        <f t="shared" si="15"/>
        <v>1</v>
      </c>
      <c r="E32" s="27">
        <f t="shared" si="16"/>
        <v>0</v>
      </c>
      <c r="F32" s="27">
        <f t="shared" si="17"/>
        <v>1</v>
      </c>
      <c r="G32" s="110"/>
      <c r="H32" s="26">
        <v>0</v>
      </c>
      <c r="I32" s="27">
        <f t="shared" si="11"/>
        <v>1</v>
      </c>
      <c r="J32" s="29">
        <f t="shared" si="18"/>
        <v>0</v>
      </c>
      <c r="K32" s="27">
        <f t="shared" si="12"/>
        <v>0</v>
      </c>
      <c r="L32" s="31">
        <f t="shared" si="13"/>
        <v>0</v>
      </c>
      <c r="M32" s="31">
        <f t="shared" si="19"/>
        <v>0</v>
      </c>
      <c r="N32" s="63">
        <f t="shared" si="20"/>
        <v>0</v>
      </c>
      <c r="O32" s="49"/>
      <c r="P32" s="49"/>
    </row>
    <row r="33" spans="1:16">
      <c r="A33" s="38" t="s">
        <v>48</v>
      </c>
      <c r="B33" s="28">
        <v>0</v>
      </c>
      <c r="C33" s="27">
        <f t="shared" si="14"/>
        <v>0</v>
      </c>
      <c r="D33" s="27">
        <f t="shared" si="15"/>
        <v>1</v>
      </c>
      <c r="E33" s="27">
        <f t="shared" si="16"/>
        <v>0</v>
      </c>
      <c r="F33" s="27">
        <f t="shared" si="17"/>
        <v>1</v>
      </c>
      <c r="G33" s="110"/>
      <c r="H33" s="26">
        <v>0</v>
      </c>
      <c r="I33" s="27">
        <f t="shared" si="11"/>
        <v>1</v>
      </c>
      <c r="J33" s="29">
        <f t="shared" si="18"/>
        <v>0</v>
      </c>
      <c r="K33" s="27">
        <f t="shared" si="12"/>
        <v>0</v>
      </c>
      <c r="L33" s="31">
        <f t="shared" si="13"/>
        <v>0</v>
      </c>
      <c r="M33" s="31">
        <f t="shared" si="19"/>
        <v>0</v>
      </c>
      <c r="N33" s="63">
        <f t="shared" si="20"/>
        <v>0</v>
      </c>
      <c r="O33" s="49"/>
      <c r="P33" s="49"/>
    </row>
    <row r="34" spans="1:16">
      <c r="A34" s="38" t="s">
        <v>49</v>
      </c>
      <c r="B34" s="28">
        <v>0</v>
      </c>
      <c r="C34" s="27">
        <f t="shared" si="14"/>
        <v>0</v>
      </c>
      <c r="D34" s="27">
        <f t="shared" si="15"/>
        <v>1</v>
      </c>
      <c r="E34" s="27">
        <f t="shared" si="16"/>
        <v>0</v>
      </c>
      <c r="F34" s="27">
        <f t="shared" si="17"/>
        <v>1</v>
      </c>
      <c r="G34" s="110"/>
      <c r="H34" s="26">
        <v>0</v>
      </c>
      <c r="I34" s="27">
        <f t="shared" si="11"/>
        <v>1</v>
      </c>
      <c r="J34" s="29">
        <f t="shared" si="18"/>
        <v>0</v>
      </c>
      <c r="K34" s="27">
        <f t="shared" si="12"/>
        <v>0</v>
      </c>
      <c r="L34" s="31">
        <f t="shared" si="13"/>
        <v>0</v>
      </c>
      <c r="M34" s="31">
        <f t="shared" si="19"/>
        <v>0</v>
      </c>
      <c r="N34" s="63">
        <f t="shared" si="20"/>
        <v>0</v>
      </c>
      <c r="O34" s="49"/>
      <c r="P34" s="49"/>
    </row>
    <row r="35" spans="1:16">
      <c r="A35" s="38" t="s">
        <v>50</v>
      </c>
      <c r="B35" s="28">
        <v>0</v>
      </c>
      <c r="C35" s="27">
        <f t="shared" si="14"/>
        <v>0</v>
      </c>
      <c r="D35" s="27">
        <f t="shared" si="15"/>
        <v>1</v>
      </c>
      <c r="E35" s="27">
        <f t="shared" si="16"/>
        <v>0</v>
      </c>
      <c r="F35" s="27">
        <f t="shared" si="17"/>
        <v>1</v>
      </c>
      <c r="G35" s="110"/>
      <c r="H35" s="26">
        <v>0</v>
      </c>
      <c r="I35" s="27">
        <f t="shared" si="11"/>
        <v>1</v>
      </c>
      <c r="J35" s="29">
        <f t="shared" si="18"/>
        <v>0</v>
      </c>
      <c r="K35" s="27">
        <f t="shared" si="12"/>
        <v>0</v>
      </c>
      <c r="L35" s="31">
        <f t="shared" si="13"/>
        <v>0</v>
      </c>
      <c r="M35" s="31">
        <f t="shared" si="19"/>
        <v>0</v>
      </c>
      <c r="N35" s="63">
        <f t="shared" si="20"/>
        <v>0</v>
      </c>
      <c r="O35" s="49"/>
      <c r="P35" s="49"/>
    </row>
    <row r="36" spans="1:16">
      <c r="A36" s="38" t="s">
        <v>51</v>
      </c>
      <c r="B36" s="28">
        <v>0</v>
      </c>
      <c r="C36" s="27">
        <f t="shared" si="14"/>
        <v>0</v>
      </c>
      <c r="D36" s="27">
        <f t="shared" si="15"/>
        <v>1</v>
      </c>
      <c r="E36" s="27">
        <f t="shared" si="16"/>
        <v>0</v>
      </c>
      <c r="F36" s="27">
        <f t="shared" si="17"/>
        <v>1</v>
      </c>
      <c r="G36" s="110"/>
      <c r="H36" s="26">
        <v>0</v>
      </c>
      <c r="I36" s="27">
        <f t="shared" si="11"/>
        <v>1</v>
      </c>
      <c r="J36" s="29">
        <f t="shared" si="18"/>
        <v>0</v>
      </c>
      <c r="K36" s="27">
        <f t="shared" si="12"/>
        <v>0</v>
      </c>
      <c r="L36" s="31">
        <f t="shared" si="13"/>
        <v>0</v>
      </c>
      <c r="M36" s="31">
        <f t="shared" si="19"/>
        <v>0</v>
      </c>
      <c r="N36" s="63">
        <f t="shared" si="20"/>
        <v>0</v>
      </c>
      <c r="O36" s="49"/>
      <c r="P36" s="49"/>
    </row>
    <row r="37" spans="1:16">
      <c r="A37" s="38" t="s">
        <v>52</v>
      </c>
      <c r="B37" s="28">
        <v>0</v>
      </c>
      <c r="C37" s="27">
        <f t="shared" si="14"/>
        <v>0</v>
      </c>
      <c r="D37" s="27">
        <f t="shared" si="15"/>
        <v>1</v>
      </c>
      <c r="E37" s="27">
        <f t="shared" si="16"/>
        <v>0</v>
      </c>
      <c r="F37" s="27">
        <f t="shared" si="17"/>
        <v>1</v>
      </c>
      <c r="G37" s="110"/>
      <c r="H37" s="26">
        <v>0</v>
      </c>
      <c r="I37" s="27">
        <f t="shared" si="11"/>
        <v>1</v>
      </c>
      <c r="J37" s="29">
        <f t="shared" si="18"/>
        <v>0</v>
      </c>
      <c r="K37" s="27">
        <f t="shared" si="12"/>
        <v>0</v>
      </c>
      <c r="L37" s="31">
        <f t="shared" si="13"/>
        <v>0</v>
      </c>
      <c r="M37" s="31">
        <f t="shared" si="19"/>
        <v>0</v>
      </c>
      <c r="N37" s="63">
        <f t="shared" si="20"/>
        <v>0</v>
      </c>
      <c r="O37" s="49"/>
      <c r="P37" s="49"/>
    </row>
    <row r="38" spans="1:16">
      <c r="A38" s="38" t="s">
        <v>53</v>
      </c>
      <c r="B38" s="28">
        <v>0</v>
      </c>
      <c r="C38" s="27">
        <f t="shared" si="14"/>
        <v>0</v>
      </c>
      <c r="D38" s="27">
        <f t="shared" si="15"/>
        <v>1</v>
      </c>
      <c r="E38" s="27">
        <f t="shared" si="16"/>
        <v>0</v>
      </c>
      <c r="F38" s="27">
        <f t="shared" si="17"/>
        <v>1</v>
      </c>
      <c r="G38" s="110"/>
      <c r="H38" s="26">
        <v>0</v>
      </c>
      <c r="I38" s="27">
        <f t="shared" si="11"/>
        <v>1</v>
      </c>
      <c r="J38" s="29">
        <f t="shared" si="18"/>
        <v>0</v>
      </c>
      <c r="K38" s="27">
        <f t="shared" si="12"/>
        <v>0</v>
      </c>
      <c r="L38" s="31">
        <f t="shared" si="13"/>
        <v>0</v>
      </c>
      <c r="M38" s="31">
        <f t="shared" si="19"/>
        <v>0</v>
      </c>
      <c r="N38" s="63">
        <f t="shared" si="20"/>
        <v>0</v>
      </c>
      <c r="O38" s="49"/>
      <c r="P38" s="49"/>
    </row>
    <row r="39" spans="1:16" ht="15.75" thickBot="1">
      <c r="A39" s="39" t="s">
        <v>54</v>
      </c>
      <c r="B39" s="59">
        <v>0</v>
      </c>
      <c r="C39" s="27">
        <f t="shared" si="14"/>
        <v>0</v>
      </c>
      <c r="D39" s="41">
        <f t="shared" si="15"/>
        <v>1</v>
      </c>
      <c r="E39" s="41">
        <f t="shared" si="16"/>
        <v>0</v>
      </c>
      <c r="F39" s="41">
        <f t="shared" si="17"/>
        <v>1</v>
      </c>
      <c r="G39" s="111"/>
      <c r="H39" s="26">
        <v>0</v>
      </c>
      <c r="I39" s="41">
        <f t="shared" si="11"/>
        <v>1</v>
      </c>
      <c r="J39" s="93">
        <f t="shared" si="18"/>
        <v>0</v>
      </c>
      <c r="K39" s="41">
        <f t="shared" si="12"/>
        <v>0</v>
      </c>
      <c r="L39" s="42">
        <f t="shared" si="13"/>
        <v>0</v>
      </c>
      <c r="M39" s="42">
        <f t="shared" si="19"/>
        <v>0</v>
      </c>
      <c r="N39" s="64">
        <f>(H39*(J39*L39))-(I39*(L39*(1+G$26)))</f>
        <v>0</v>
      </c>
      <c r="O39" s="49"/>
      <c r="P39" s="49"/>
    </row>
    <row r="40" spans="1:16" ht="15.75" thickBot="1">
      <c r="E40" s="58"/>
      <c r="F40" s="43"/>
      <c r="H40" s="92">
        <f>SUM(H26:H39)</f>
        <v>0</v>
      </c>
    </row>
    <row r="41" spans="1:16" ht="15.75" thickTop="1"/>
    <row r="44" spans="1:16">
      <c r="K44" s="23"/>
    </row>
  </sheetData>
  <mergeCells count="10">
    <mergeCell ref="A24:D24"/>
    <mergeCell ref="G8:G9"/>
    <mergeCell ref="G26:G39"/>
    <mergeCell ref="F5:G5"/>
    <mergeCell ref="A6:D6"/>
    <mergeCell ref="A1:E1"/>
    <mergeCell ref="B3:D3"/>
    <mergeCell ref="F14:F22"/>
    <mergeCell ref="G14:G22"/>
    <mergeCell ref="A11:D11"/>
  </mergeCells>
  <phoneticPr fontId="3" type="noConversion"/>
  <pageMargins left="0.7" right="0.7" top="0.75" bottom="0.75" header="0.3" footer="0.3"/>
  <pageSetup orientation="portrait" r:id="rId1"/>
  <ignoredErrors>
    <ignoredError sqref="E26:E39 E8:E9"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FCDD1-0D23-40B6-A52F-43B9864D1E3D}">
  <dimension ref="A1:A35"/>
  <sheetViews>
    <sheetView workbookViewId="0">
      <selection activeCell="L30" sqref="L30"/>
    </sheetView>
  </sheetViews>
  <sheetFormatPr defaultRowHeight="15"/>
  <cols>
    <col min="1" max="1" width="50.42578125" style="13" customWidth="1"/>
  </cols>
  <sheetData>
    <row r="1" spans="1:1" ht="17.25">
      <c r="A1" s="7" t="s">
        <v>9</v>
      </c>
    </row>
    <row r="2" spans="1:1">
      <c r="A2" s="8"/>
    </row>
    <row r="3" spans="1:1" ht="17.25">
      <c r="A3" s="9" t="s">
        <v>10</v>
      </c>
    </row>
    <row r="4" spans="1:1">
      <c r="A4" s="10"/>
    </row>
    <row r="5" spans="1:1">
      <c r="A5" s="11" t="s">
        <v>86</v>
      </c>
    </row>
    <row r="6" spans="1:1">
      <c r="A6" s="12" t="s">
        <v>12</v>
      </c>
    </row>
    <row r="8" spans="1:1" ht="17.25">
      <c r="A8" s="7" t="s">
        <v>80</v>
      </c>
    </row>
    <row r="9" spans="1:1">
      <c r="A9" s="8"/>
    </row>
    <row r="10" spans="1:1" ht="17.25">
      <c r="A10" s="9" t="s">
        <v>13</v>
      </c>
    </row>
    <row r="11" spans="1:1">
      <c r="A11" s="10"/>
    </row>
    <row r="12" spans="1:1">
      <c r="A12" s="11" t="s">
        <v>11</v>
      </c>
    </row>
    <row r="13" spans="1:1">
      <c r="A13" s="12" t="s">
        <v>14</v>
      </c>
    </row>
    <row r="15" spans="1:1" ht="17.25">
      <c r="A15" s="7" t="s">
        <v>15</v>
      </c>
    </row>
    <row r="16" spans="1:1">
      <c r="A16" s="8"/>
    </row>
    <row r="17" spans="1:1" ht="17.25">
      <c r="A17" s="9" t="s">
        <v>16</v>
      </c>
    </row>
    <row r="18" spans="1:1">
      <c r="A18" s="10"/>
    </row>
    <row r="19" spans="1:1">
      <c r="A19" s="11" t="s">
        <v>11</v>
      </c>
    </row>
    <row r="20" spans="1:1">
      <c r="A20" s="12" t="s">
        <v>19</v>
      </c>
    </row>
    <row r="22" spans="1:1" ht="17.25">
      <c r="A22" s="7" t="s">
        <v>17</v>
      </c>
    </row>
    <row r="24" spans="1:1" ht="17.25">
      <c r="A24" s="7" t="s">
        <v>18</v>
      </c>
    </row>
    <row r="27" spans="1:1" ht="51.75">
      <c r="A27" s="19" t="s">
        <v>29</v>
      </c>
    </row>
    <row r="28" spans="1:1">
      <c r="A28" s="20"/>
    </row>
    <row r="29" spans="1:1" ht="86.25">
      <c r="A29" s="21" t="s">
        <v>30</v>
      </c>
    </row>
    <row r="30" spans="1:1" ht="86.25">
      <c r="A30" s="21" t="s">
        <v>31</v>
      </c>
    </row>
    <row r="31" spans="1:1" ht="103.5">
      <c r="A31" s="21" t="s">
        <v>32</v>
      </c>
    </row>
    <row r="32" spans="1:1" ht="103.5">
      <c r="A32" s="21" t="s">
        <v>33</v>
      </c>
    </row>
    <row r="33" spans="1:1" ht="69">
      <c r="A33" s="21" t="s">
        <v>34</v>
      </c>
    </row>
    <row r="34" spans="1:1">
      <c r="A34" s="22"/>
    </row>
    <row r="35" spans="1:1" ht="69">
      <c r="A35" s="19"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54179-8268-47D4-8C4A-009813122221}">
  <dimension ref="A1"/>
  <sheetViews>
    <sheetView workbookViewId="0">
      <selection activeCell="H18" sqref="H18"/>
    </sheetView>
  </sheetViews>
  <sheetFormatPr defaultRowHeight="15"/>
  <cols>
    <col min="1" max="1" width="113.7109375" customWidth="1"/>
  </cols>
  <sheetData>
    <row r="1" spans="1:1" ht="90">
      <c r="A1" s="14" t="s">
        <v>20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1EA18-25AA-4473-8D06-ADF39736BCE1}">
  <dimension ref="A1:A11"/>
  <sheetViews>
    <sheetView workbookViewId="0">
      <selection activeCell="M8" sqref="M8"/>
    </sheetView>
  </sheetViews>
  <sheetFormatPr defaultRowHeight="15"/>
  <cols>
    <col min="1" max="1" width="69.42578125" customWidth="1"/>
  </cols>
  <sheetData>
    <row r="1" spans="1:1" ht="115.5">
      <c r="A1" s="16" t="s">
        <v>21</v>
      </c>
    </row>
    <row r="2" spans="1:1">
      <c r="A2" s="15"/>
    </row>
    <row r="3" spans="1:1" ht="16.5">
      <c r="A3" s="16" t="s">
        <v>22</v>
      </c>
    </row>
    <row r="4" spans="1:1">
      <c r="A4" s="17"/>
    </row>
    <row r="5" spans="1:1" ht="66">
      <c r="A5" s="18" t="s">
        <v>23</v>
      </c>
    </row>
    <row r="6" spans="1:1" ht="49.5">
      <c r="A6" s="18" t="s">
        <v>24</v>
      </c>
    </row>
    <row r="7" spans="1:1" ht="49.5">
      <c r="A7" s="18" t="s">
        <v>25</v>
      </c>
    </row>
    <row r="8" spans="1:1" ht="49.5">
      <c r="A8" s="18" t="s">
        <v>26</v>
      </c>
    </row>
    <row r="9" spans="1:1" ht="49.5">
      <c r="A9" s="18" t="s">
        <v>27</v>
      </c>
    </row>
    <row r="10" spans="1:1">
      <c r="A10" s="15"/>
    </row>
    <row r="11" spans="1:1" ht="49.5">
      <c r="A11" s="16" t="s">
        <v>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DC588-5948-466E-B686-FC1862698B8A}">
  <dimension ref="A1:A8"/>
  <sheetViews>
    <sheetView workbookViewId="0">
      <selection activeCell="A9" sqref="A9"/>
    </sheetView>
  </sheetViews>
  <sheetFormatPr defaultRowHeight="15"/>
  <sheetData>
    <row r="1" spans="1:1" ht="17.25">
      <c r="A1" s="60" t="s">
        <v>75</v>
      </c>
    </row>
    <row r="2" spans="1:1">
      <c r="A2" s="61"/>
    </row>
    <row r="3" spans="1:1" ht="17.25">
      <c r="A3" s="62" t="s">
        <v>76</v>
      </c>
    </row>
    <row r="4" spans="1:1" ht="17.25">
      <c r="A4" s="62" t="s">
        <v>77</v>
      </c>
    </row>
    <row r="5" spans="1:1" ht="17.25">
      <c r="A5" s="62" t="s">
        <v>78</v>
      </c>
    </row>
    <row r="6" spans="1:1" ht="17.25">
      <c r="A6" s="62" t="s">
        <v>79</v>
      </c>
    </row>
    <row r="8" spans="1:1" ht="17.25">
      <c r="A8" s="62" t="s">
        <v>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2BAB4-38C9-4168-8E6F-C8B13520061E}">
  <dimension ref="A1:A250"/>
  <sheetViews>
    <sheetView topLeftCell="A211" workbookViewId="0">
      <selection activeCell="K264" sqref="K264"/>
    </sheetView>
  </sheetViews>
  <sheetFormatPr defaultRowHeight="15"/>
  <sheetData>
    <row r="1" spans="1:1">
      <c r="A1" t="s">
        <v>89</v>
      </c>
    </row>
    <row r="2" spans="1:1">
      <c r="A2" t="s">
        <v>90</v>
      </c>
    </row>
    <row r="4" spans="1:1">
      <c r="A4" t="s">
        <v>91</v>
      </c>
    </row>
    <row r="6" spans="1:1">
      <c r="A6" t="s">
        <v>92</v>
      </c>
    </row>
    <row r="8" spans="1:1">
      <c r="A8" t="s">
        <v>93</v>
      </c>
    </row>
    <row r="9" spans="1:1">
      <c r="A9" t="s">
        <v>94</v>
      </c>
    </row>
    <row r="10" spans="1:1">
      <c r="A10" t="s">
        <v>95</v>
      </c>
    </row>
    <row r="11" spans="1:1">
      <c r="A11" t="s">
        <v>96</v>
      </c>
    </row>
    <row r="13" spans="1:1">
      <c r="A13" t="s">
        <v>97</v>
      </c>
    </row>
    <row r="15" spans="1:1">
      <c r="A15" t="s">
        <v>98</v>
      </c>
    </row>
    <row r="16" spans="1:1">
      <c r="A16" t="s">
        <v>94</v>
      </c>
    </row>
    <row r="17" spans="1:1">
      <c r="A17" t="s">
        <v>99</v>
      </c>
    </row>
    <row r="18" spans="1:1">
      <c r="A18" t="s">
        <v>100</v>
      </c>
    </row>
    <row r="20" spans="1:1">
      <c r="A20" t="s">
        <v>101</v>
      </c>
    </row>
    <row r="22" spans="1:1">
      <c r="A22" t="s">
        <v>102</v>
      </c>
    </row>
    <row r="24" spans="1:1">
      <c r="A24" t="s">
        <v>103</v>
      </c>
    </row>
    <row r="25" spans="1:1">
      <c r="A25" t="s">
        <v>94</v>
      </c>
    </row>
    <row r="26" spans="1:1">
      <c r="A26" t="s">
        <v>104</v>
      </c>
    </row>
    <row r="27" spans="1:1">
      <c r="A27" t="s">
        <v>105</v>
      </c>
    </row>
    <row r="29" spans="1:1">
      <c r="A29" t="s">
        <v>106</v>
      </c>
    </row>
    <row r="31" spans="1:1">
      <c r="A31" t="s">
        <v>107</v>
      </c>
    </row>
    <row r="32" spans="1:1">
      <c r="A32" t="s">
        <v>94</v>
      </c>
    </row>
    <row r="33" spans="1:1">
      <c r="A33" t="s">
        <v>108</v>
      </c>
    </row>
    <row r="34" spans="1:1">
      <c r="A34" t="s">
        <v>109</v>
      </c>
    </row>
    <row r="36" spans="1:1">
      <c r="A36" t="s">
        <v>110</v>
      </c>
    </row>
    <row r="38" spans="1:1">
      <c r="A38" t="s">
        <v>111</v>
      </c>
    </row>
    <row r="39" spans="1:1">
      <c r="A39" t="s">
        <v>94</v>
      </c>
    </row>
    <row r="40" spans="1:1">
      <c r="A40" t="s">
        <v>112</v>
      </c>
    </row>
    <row r="41" spans="1:1">
      <c r="A41" t="s">
        <v>113</v>
      </c>
    </row>
    <row r="43" spans="1:1">
      <c r="A43" t="s">
        <v>114</v>
      </c>
    </row>
    <row r="44" spans="1:1">
      <c r="A44" t="s">
        <v>115</v>
      </c>
    </row>
    <row r="45" spans="1:1">
      <c r="A45" t="s">
        <v>116</v>
      </c>
    </row>
    <row r="46" spans="1:1">
      <c r="A46" t="s">
        <v>117</v>
      </c>
    </row>
    <row r="47" spans="1:1">
      <c r="A47" t="s">
        <v>118</v>
      </c>
    </row>
    <row r="48" spans="1:1">
      <c r="A48" t="s">
        <v>119</v>
      </c>
    </row>
    <row r="49" spans="1:1">
      <c r="A49" t="s">
        <v>120</v>
      </c>
    </row>
    <row r="51" spans="1:1">
      <c r="A51" t="s">
        <v>121</v>
      </c>
    </row>
    <row r="52" spans="1:1">
      <c r="A52" t="s">
        <v>94</v>
      </c>
    </row>
    <row r="53" spans="1:1">
      <c r="A53" t="s">
        <v>122</v>
      </c>
    </row>
    <row r="54" spans="1:1">
      <c r="A54" t="s">
        <v>123</v>
      </c>
    </row>
    <row r="56" spans="1:1">
      <c r="A56" t="s">
        <v>124</v>
      </c>
    </row>
    <row r="58" spans="1:1">
      <c r="A58" t="s">
        <v>125</v>
      </c>
    </row>
    <row r="60" spans="1:1">
      <c r="A60" t="s">
        <v>126</v>
      </c>
    </row>
    <row r="61" spans="1:1">
      <c r="A61" t="s">
        <v>94</v>
      </c>
    </row>
    <row r="62" spans="1:1">
      <c r="A62" t="s">
        <v>127</v>
      </c>
    </row>
    <row r="63" spans="1:1">
      <c r="A63" t="s">
        <v>128</v>
      </c>
    </row>
    <row r="65" spans="1:1">
      <c r="A65" t="s">
        <v>129</v>
      </c>
    </row>
    <row r="66" spans="1:1">
      <c r="A66" t="s">
        <v>130</v>
      </c>
    </row>
    <row r="67" spans="1:1">
      <c r="A67" t="s">
        <v>131</v>
      </c>
    </row>
    <row r="68" spans="1:1">
      <c r="A68" t="s">
        <v>132</v>
      </c>
    </row>
    <row r="69" spans="1:1">
      <c r="A69" t="s">
        <v>133</v>
      </c>
    </row>
    <row r="70" spans="1:1">
      <c r="A70" t="s">
        <v>134</v>
      </c>
    </row>
    <row r="72" spans="1:1">
      <c r="A72" t="s">
        <v>135</v>
      </c>
    </row>
    <row r="73" spans="1:1">
      <c r="A73" t="s">
        <v>94</v>
      </c>
    </row>
    <row r="74" spans="1:1">
      <c r="A74" t="s">
        <v>136</v>
      </c>
    </row>
    <row r="75" spans="1:1">
      <c r="A75" t="s">
        <v>137</v>
      </c>
    </row>
    <row r="77" spans="1:1">
      <c r="A77" t="s">
        <v>138</v>
      </c>
    </row>
    <row r="78" spans="1:1">
      <c r="A78" t="s">
        <v>139</v>
      </c>
    </row>
    <row r="79" spans="1:1">
      <c r="A79" t="s">
        <v>140</v>
      </c>
    </row>
    <row r="80" spans="1:1">
      <c r="A80" t="s">
        <v>141</v>
      </c>
    </row>
    <row r="82" spans="1:1">
      <c r="A82" t="s">
        <v>142</v>
      </c>
    </row>
    <row r="83" spans="1:1">
      <c r="A83" t="s">
        <v>94</v>
      </c>
    </row>
    <row r="84" spans="1:1">
      <c r="A84" t="s">
        <v>143</v>
      </c>
    </row>
    <row r="85" spans="1:1">
      <c r="A85" t="s">
        <v>144</v>
      </c>
    </row>
    <row r="87" spans="1:1">
      <c r="A87" t="s">
        <v>145</v>
      </c>
    </row>
    <row r="88" spans="1:1">
      <c r="A88" t="s">
        <v>146</v>
      </c>
    </row>
    <row r="89" spans="1:1">
      <c r="A89" t="s">
        <v>147</v>
      </c>
    </row>
    <row r="90" spans="1:1">
      <c r="A90" t="s">
        <v>148</v>
      </c>
    </row>
    <row r="92" spans="1:1">
      <c r="A92" t="s">
        <v>149</v>
      </c>
    </row>
    <row r="93" spans="1:1">
      <c r="A93" t="s">
        <v>94</v>
      </c>
    </row>
    <row r="94" spans="1:1">
      <c r="A94" t="s">
        <v>150</v>
      </c>
    </row>
    <row r="95" spans="1:1">
      <c r="A95" t="s">
        <v>151</v>
      </c>
    </row>
    <row r="97" spans="1:1">
      <c r="A97" t="s">
        <v>152</v>
      </c>
    </row>
    <row r="98" spans="1:1">
      <c r="A98" t="s">
        <v>153</v>
      </c>
    </row>
    <row r="99" spans="1:1">
      <c r="A99" t="s">
        <v>154</v>
      </c>
    </row>
    <row r="100" spans="1:1">
      <c r="A100" t="s">
        <v>155</v>
      </c>
    </row>
    <row r="102" spans="1:1">
      <c r="A102" t="s">
        <v>156</v>
      </c>
    </row>
    <row r="103" spans="1:1">
      <c r="A103" t="s">
        <v>94</v>
      </c>
    </row>
    <row r="104" spans="1:1">
      <c r="A104" t="s">
        <v>157</v>
      </c>
    </row>
    <row r="105" spans="1:1">
      <c r="A105" t="s">
        <v>158</v>
      </c>
    </row>
    <row r="107" spans="1:1">
      <c r="A107" t="s">
        <v>159</v>
      </c>
    </row>
    <row r="109" spans="1:1">
      <c r="A109" t="s">
        <v>160</v>
      </c>
    </row>
    <row r="110" spans="1:1">
      <c r="A110" t="s">
        <v>161</v>
      </c>
    </row>
    <row r="111" spans="1:1">
      <c r="A111" t="s">
        <v>162</v>
      </c>
    </row>
    <row r="113" spans="1:1">
      <c r="A113" t="s">
        <v>163</v>
      </c>
    </row>
    <row r="114" spans="1:1">
      <c r="A114" t="s">
        <v>94</v>
      </c>
    </row>
    <row r="115" spans="1:1">
      <c r="A115" t="s">
        <v>164</v>
      </c>
    </row>
    <row r="116" spans="1:1">
      <c r="A116" t="s">
        <v>165</v>
      </c>
    </row>
    <row r="118" spans="1:1">
      <c r="A118" t="s">
        <v>166</v>
      </c>
    </row>
    <row r="120" spans="1:1">
      <c r="A120" t="s">
        <v>167</v>
      </c>
    </row>
    <row r="122" spans="1:1">
      <c r="A122" t="s">
        <v>168</v>
      </c>
    </row>
    <row r="123" spans="1:1">
      <c r="A123" t="s">
        <v>94</v>
      </c>
    </row>
    <row r="124" spans="1:1">
      <c r="A124" t="s">
        <v>169</v>
      </c>
    </row>
    <row r="125" spans="1:1">
      <c r="A125" t="s">
        <v>170</v>
      </c>
    </row>
    <row r="127" spans="1:1">
      <c r="A127" t="s">
        <v>171</v>
      </c>
    </row>
    <row r="129" spans="1:1">
      <c r="A129" t="s">
        <v>172</v>
      </c>
    </row>
    <row r="130" spans="1:1">
      <c r="A130" t="s">
        <v>94</v>
      </c>
    </row>
    <row r="131" spans="1:1">
      <c r="A131" t="s">
        <v>173</v>
      </c>
    </row>
    <row r="132" spans="1:1">
      <c r="A132" t="s">
        <v>174</v>
      </c>
    </row>
    <row r="134" spans="1:1">
      <c r="A134" t="s">
        <v>175</v>
      </c>
    </row>
    <row r="136" spans="1:1">
      <c r="A136" t="s">
        <v>176</v>
      </c>
    </row>
    <row r="137" spans="1:1">
      <c r="A137" t="s">
        <v>94</v>
      </c>
    </row>
    <row r="138" spans="1:1">
      <c r="A138" t="s">
        <v>177</v>
      </c>
    </row>
    <row r="139" spans="1:1">
      <c r="A139" t="s">
        <v>178</v>
      </c>
    </row>
    <row r="141" spans="1:1">
      <c r="A141" t="s">
        <v>179</v>
      </c>
    </row>
    <row r="142" spans="1:1">
      <c r="A142" t="s">
        <v>180</v>
      </c>
    </row>
    <row r="143" spans="1:1">
      <c r="A143" t="s">
        <v>181</v>
      </c>
    </row>
    <row r="144" spans="1:1">
      <c r="A144" t="s">
        <v>182</v>
      </c>
    </row>
    <row r="146" spans="1:1">
      <c r="A146" t="s">
        <v>183</v>
      </c>
    </row>
    <row r="147" spans="1:1">
      <c r="A147" t="s">
        <v>94</v>
      </c>
    </row>
    <row r="148" spans="1:1">
      <c r="A148" t="s">
        <v>184</v>
      </c>
    </row>
    <row r="149" spans="1:1">
      <c r="A149" t="s">
        <v>185</v>
      </c>
    </row>
    <row r="151" spans="1:1">
      <c r="A151" t="s">
        <v>186</v>
      </c>
    </row>
    <row r="152" spans="1:1">
      <c r="A152" t="s">
        <v>187</v>
      </c>
    </row>
    <row r="153" spans="1:1">
      <c r="A153" t="s">
        <v>188</v>
      </c>
    </row>
    <row r="154" spans="1:1">
      <c r="A154" t="s">
        <v>189</v>
      </c>
    </row>
    <row r="155" spans="1:1">
      <c r="A155" t="s">
        <v>190</v>
      </c>
    </row>
    <row r="157" spans="1:1">
      <c r="A157" t="s">
        <v>191</v>
      </c>
    </row>
    <row r="158" spans="1:1">
      <c r="A158" t="s">
        <v>94</v>
      </c>
    </row>
    <row r="159" spans="1:1">
      <c r="A159" t="s">
        <v>192</v>
      </c>
    </row>
    <row r="160" spans="1:1">
      <c r="A160" t="s">
        <v>193</v>
      </c>
    </row>
    <row r="162" spans="1:1">
      <c r="A162" t="s">
        <v>194</v>
      </c>
    </row>
    <row r="164" spans="1:1">
      <c r="A164" t="s">
        <v>195</v>
      </c>
    </row>
    <row r="166" spans="1:1">
      <c r="A166" t="s">
        <v>196</v>
      </c>
    </row>
    <row r="168" spans="1:1">
      <c r="A168" t="s">
        <v>197</v>
      </c>
    </row>
    <row r="169" spans="1:1">
      <c r="A169" t="s">
        <v>94</v>
      </c>
    </row>
    <row r="170" spans="1:1">
      <c r="A170" t="s">
        <v>198</v>
      </c>
    </row>
    <row r="171" spans="1:1">
      <c r="A171" t="s">
        <v>199</v>
      </c>
    </row>
    <row r="173" spans="1:1">
      <c r="A173" t="s">
        <v>200</v>
      </c>
    </row>
    <row r="174" spans="1:1">
      <c r="A174" t="s">
        <v>201</v>
      </c>
    </row>
    <row r="175" spans="1:1">
      <c r="A175" t="s">
        <v>202</v>
      </c>
    </row>
    <row r="176" spans="1:1">
      <c r="A176" t="s">
        <v>203</v>
      </c>
    </row>
    <row r="177" spans="1:1">
      <c r="A177" t="s">
        <v>204</v>
      </c>
    </row>
    <row r="179" spans="1:1">
      <c r="A179" t="s">
        <v>205</v>
      </c>
    </row>
    <row r="180" spans="1:1">
      <c r="A180" t="s">
        <v>94</v>
      </c>
    </row>
    <row r="181" spans="1:1">
      <c r="A181" t="s">
        <v>206</v>
      </c>
    </row>
    <row r="182" spans="1:1">
      <c r="A182" t="s">
        <v>207</v>
      </c>
    </row>
    <row r="184" spans="1:1">
      <c r="A184" t="s">
        <v>208</v>
      </c>
    </row>
    <row r="186" spans="1:1">
      <c r="A186" t="s">
        <v>209</v>
      </c>
    </row>
    <row r="188" spans="1:1">
      <c r="A188" t="s">
        <v>210</v>
      </c>
    </row>
    <row r="189" spans="1:1">
      <c r="A189" t="s">
        <v>94</v>
      </c>
    </row>
    <row r="190" spans="1:1">
      <c r="A190" t="s">
        <v>211</v>
      </c>
    </row>
    <row r="191" spans="1:1">
      <c r="A191" t="s">
        <v>212</v>
      </c>
    </row>
    <row r="193" spans="1:1">
      <c r="A193" t="s">
        <v>213</v>
      </c>
    </row>
    <row r="195" spans="1:1">
      <c r="A195" t="s">
        <v>214</v>
      </c>
    </row>
    <row r="197" spans="1:1">
      <c r="A197" t="s">
        <v>215</v>
      </c>
    </row>
    <row r="198" spans="1:1">
      <c r="A198" t="s">
        <v>94</v>
      </c>
    </row>
    <row r="199" spans="1:1">
      <c r="A199" t="s">
        <v>216</v>
      </c>
    </row>
    <row r="200" spans="1:1">
      <c r="A200" t="s">
        <v>217</v>
      </c>
    </row>
    <row r="202" spans="1:1">
      <c r="A202" t="s">
        <v>218</v>
      </c>
    </row>
    <row r="204" spans="1:1">
      <c r="A204" t="s">
        <v>219</v>
      </c>
    </row>
    <row r="206" spans="1:1">
      <c r="A206" t="s">
        <v>220</v>
      </c>
    </row>
    <row r="207" spans="1:1">
      <c r="A207" t="s">
        <v>94</v>
      </c>
    </row>
    <row r="208" spans="1:1">
      <c r="A208" t="s">
        <v>221</v>
      </c>
    </row>
    <row r="209" spans="1:1">
      <c r="A209" t="s">
        <v>222</v>
      </c>
    </row>
    <row r="211" spans="1:1">
      <c r="A211" t="s">
        <v>223</v>
      </c>
    </row>
    <row r="212" spans="1:1">
      <c r="A212" t="s">
        <v>224</v>
      </c>
    </row>
    <row r="213" spans="1:1">
      <c r="A213" t="s">
        <v>225</v>
      </c>
    </row>
    <row r="215" spans="1:1">
      <c r="A215" t="s">
        <v>226</v>
      </c>
    </row>
    <row r="216" spans="1:1">
      <c r="A216" t="s">
        <v>94</v>
      </c>
    </row>
    <row r="217" spans="1:1">
      <c r="A217" t="s">
        <v>227</v>
      </c>
    </row>
    <row r="218" spans="1:1">
      <c r="A218" t="s">
        <v>228</v>
      </c>
    </row>
    <row r="220" spans="1:1">
      <c r="A220" t="s">
        <v>229</v>
      </c>
    </row>
    <row r="222" spans="1:1">
      <c r="A222" t="s">
        <v>230</v>
      </c>
    </row>
    <row r="224" spans="1:1">
      <c r="A224" t="s">
        <v>231</v>
      </c>
    </row>
    <row r="225" spans="1:1">
      <c r="A225" t="s">
        <v>94</v>
      </c>
    </row>
    <row r="226" spans="1:1">
      <c r="A226" t="s">
        <v>232</v>
      </c>
    </row>
    <row r="227" spans="1:1">
      <c r="A227" t="s">
        <v>233</v>
      </c>
    </row>
    <row r="229" spans="1:1">
      <c r="A229" t="s">
        <v>234</v>
      </c>
    </row>
    <row r="231" spans="1:1">
      <c r="A231" t="s">
        <v>235</v>
      </c>
    </row>
    <row r="233" spans="1:1">
      <c r="A233" t="s">
        <v>236</v>
      </c>
    </row>
    <row r="234" spans="1:1">
      <c r="A234" t="s">
        <v>237</v>
      </c>
    </row>
    <row r="235" spans="1:1">
      <c r="A235" t="s">
        <v>238</v>
      </c>
    </row>
    <row r="236" spans="1:1">
      <c r="A236" t="s">
        <v>239</v>
      </c>
    </row>
    <row r="237" spans="1:1">
      <c r="A237" t="s">
        <v>240</v>
      </c>
    </row>
    <row r="239" spans="1:1">
      <c r="A239" t="s">
        <v>241</v>
      </c>
    </row>
    <row r="241" spans="1:1">
      <c r="A241" t="s">
        <v>242</v>
      </c>
    </row>
    <row r="243" spans="1:1">
      <c r="A243" t="s">
        <v>243</v>
      </c>
    </row>
    <row r="244" spans="1:1">
      <c r="A244" t="s">
        <v>244</v>
      </c>
    </row>
    <row r="246" spans="1:1">
      <c r="A246" t="s">
        <v>245</v>
      </c>
    </row>
    <row r="248" spans="1:1">
      <c r="A248" t="s">
        <v>246</v>
      </c>
    </row>
    <row r="250" spans="1:1">
      <c r="A250" t="s">
        <v>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Kelly Calculator</vt:lpstr>
      <vt:lpstr>Baseball</vt:lpstr>
      <vt:lpstr>Basketball</vt:lpstr>
      <vt:lpstr>Football</vt:lpstr>
      <vt:lpstr>Horse Racing</vt:lpstr>
      <vt:lpstr>Stats knowledge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Russella</dc:creator>
  <cp:lastModifiedBy>Charles Russella</cp:lastModifiedBy>
  <dcterms:created xsi:type="dcterms:W3CDTF">2023-01-18T15:33:05Z</dcterms:created>
  <dcterms:modified xsi:type="dcterms:W3CDTF">2023-02-22T17:33:00Z</dcterms:modified>
</cp:coreProperties>
</file>